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F:\Excel projects\Dashboards\"/>
    </mc:Choice>
  </mc:AlternateContent>
  <xr:revisionPtr revIDLastSave="0" documentId="13_ncr:1_{A3222643-D7CB-44BD-8916-811E84D7302A}" xr6:coauthVersionLast="47" xr6:coauthVersionMax="47" xr10:uidLastSave="{00000000-0000-0000-0000-000000000000}"/>
  <bookViews>
    <workbookView xWindow="-108" yWindow="-108" windowWidth="23256" windowHeight="12456" activeTab="1" xr2:uid="{431AD402-5D60-4351-8E27-8DB9AF2F4C59}"/>
  </bookViews>
  <sheets>
    <sheet name="Pivot Report" sheetId="1" r:id="rId1"/>
    <sheet name="Dashboard" sheetId="2" r:id="rId2"/>
    <sheet name="Daily ER of no. of patient" sheetId="3" r:id="rId3"/>
    <sheet name="Avg wait time for daily trend" sheetId="4" r:id="rId4"/>
    <sheet name="Satisfaction Score Daily Trend" sheetId="5" r:id="rId5"/>
  </sheets>
  <definedNames>
    <definedName name="Slicer_Date__Month">#N/A</definedName>
  </definedNames>
  <calcPr calcId="191029"/>
  <pivotCaches>
    <pivotCache cacheId="344" r:id="rId6"/>
    <pivotCache cacheId="347" r:id="rId7"/>
    <pivotCache cacheId="350" r:id="rId8"/>
    <pivotCache cacheId="353" r:id="rId9"/>
    <pivotCache cacheId="356" r:id="rId10"/>
    <pivotCache cacheId="359" r:id="rId11"/>
    <pivotCache cacheId="362" r:id="rId12"/>
    <pivotCache cacheId="365" r:id="rId13"/>
    <pivotCache cacheId="368" r:id="rId14"/>
    <pivotCache cacheId="371" r:id="rId15"/>
    <pivotCache cacheId="374"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f570418-8f95-4435-842b-9442873025df" name="Hospital Emergency Room Data" connection="Query - Hospital Emergency Room Data"/>
          <x15:modelTable id="Calendar_Table_751b42ea-4e56-4f04-a040-ec3080c558f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8" i="1" l="1"/>
  <c r="C47" i="1"/>
  <c r="A48" i="1"/>
  <c r="A47" i="1"/>
  <c r="B48" i="1"/>
  <c r="B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D57203-9AC7-4AAD-AD4A-F2AF122F3934}" name="Query - Calendar_Table" description="Connection to the 'Calendar_Table' query in the workbook." type="100" refreshedVersion="8" minRefreshableVersion="5">
    <extLst>
      <ext xmlns:x15="http://schemas.microsoft.com/office/spreadsheetml/2010/11/main" uri="{DE250136-89BD-433C-8126-D09CA5730AF9}">
        <x15:connection id="92d12d5f-2446-459e-a00f-1f9041d1fd42"/>
      </ext>
    </extLst>
  </connection>
  <connection id="2" xr16:uid="{268AA958-2325-4A09-BEA5-CA0E4B612AE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aeb78ec-ef43-4efe-afb9-545d3ad85415"/>
      </ext>
    </extLst>
  </connection>
  <connection id="3" xr16:uid="{A9ACF12A-8DDE-46FB-80C8-519BD4574B8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<sst xmlns="http://schemas.openxmlformats.org/spreadsheetml/2006/main" count="147" uniqueCount="73">
  <si>
    <t>Count of Patient Id</t>
  </si>
  <si>
    <t>No.of Patient</t>
  </si>
  <si>
    <t>Distinct Count of Patient Id</t>
  </si>
  <si>
    <t>Average of Patient Waittime</t>
  </si>
  <si>
    <t>Average of Patient Satisfaction Score</t>
  </si>
  <si>
    <t>Row Labels</t>
  </si>
  <si>
    <t>Grand Total</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</si>
  <si>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</si>
  <si>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</si>
  <si>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</si>
  <si>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</si>
  <si>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</si>
  <si>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</si>
  <si>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</si>
  <si>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</si>
  <si>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</si>
  <si>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</si>
  <si>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</si>
  <si>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</si>
  <si>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</si>
  <si>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</si>
  <si>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</si>
  <si>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</si>
  <si>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</si>
  <si>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</si>
  <si>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</si>
  <si>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</si>
  <si>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</si>
  <si>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</si>
  <si>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</si>
  <si>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</si>
  <si>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</si>
  <si>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</si>
  <si>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</si>
  <si>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</si>
  <si>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</si>
  <si>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showing daily trend with an area sparkline to spot patterns like busy days or seasonal trends</t>
  </si>
  <si>
    <t>daily trends of no.of patients</t>
  </si>
  <si>
    <t>average wait time</t>
  </si>
  <si>
    <t>use an area sparkline to track daily challenges and highlight days with longer wait times that might need improvements</t>
  </si>
  <si>
    <t>use an area spark link to show trendsand spot drops in satisfaction and link them to busy times or challenges.</t>
  </si>
  <si>
    <t>Satisfaction Score Daily trend</t>
  </si>
  <si>
    <t>Admitted</t>
  </si>
  <si>
    <t>Not Admitted</t>
  </si>
  <si>
    <t>Count of Patient Admission Flag</t>
  </si>
  <si>
    <t>Percentage Count of Patient Admission Flag</t>
  </si>
  <si>
    <t>Admission Status</t>
  </si>
  <si>
    <t>% Status</t>
  </si>
  <si>
    <t>Chart</t>
  </si>
  <si>
    <t>No.of Patients</t>
  </si>
  <si>
    <t>0-9</t>
  </si>
  <si>
    <t>10-19</t>
  </si>
  <si>
    <t>20-29</t>
  </si>
  <si>
    <t>30-39</t>
  </si>
  <si>
    <t>40-49</t>
  </si>
  <si>
    <t>50-59</t>
  </si>
  <si>
    <t>60-69</t>
  </si>
  <si>
    <t>70-79</t>
  </si>
  <si>
    <t>Count of Age Group</t>
  </si>
  <si>
    <t>Ontime</t>
  </si>
  <si>
    <t>Delay</t>
  </si>
  <si>
    <t>Male</t>
  </si>
  <si>
    <t>Count of Patient Gender</t>
  </si>
  <si>
    <t>Female</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</si>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</sst>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2" fontId="0" fillId="0" borderId="0" xfId="0" applyNumberFormat="1" applyAlignment="1">
      <alignment horizontal="left" indent="19"/>
    </xf>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1" fontId="0" fillId="0" borderId="0" xfId="0" applyNumberFormat="1"/>
    <xf numFmtId="10" fontId="0" fillId="0" borderId="0" xfId="0" applyNumberFormat="1"/>
    <xf numFmtId="0" fontId="0" fillId="5" borderId="0" xfId="0" applyFill="1"/>
    <xf numFmtId="9" fontId="0" fillId="4" borderId="0" xfId="0" applyNumberFormat="1" applyFill="1"/>
    <xf numFmtId="0" fontId="0" fillId="0" borderId="0" xfId="0" applyAlignment="1">
      <alignment horizontal="center"/>
    </xf>
    <xf numFmtId="0" fontId="0" fillId="4" borderId="0" xfId="0" applyFill="1" applyAlignment="1">
      <alignment horizontal="center"/>
    </xf>
    <xf numFmtId="0" fontId="0" fillId="0" borderId="0" xfId="0" applyNumberFormat="1"/>
  </cellXfs>
  <cellStyles count="1">
    <cellStyle name="Normal" xfId="0" builtinId="0"/>
  </cellStyles>
  <dxfs count="374">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numFmt numFmtId="2" formatCode="0.00"/>
    </dxf>
    <dxf>
      <numFmt numFmtId="1" formatCode="0"/>
    </dxf>
    <dxf>
      <numFmt numFmtId="1" formatCode="0"/>
    </dxf>
    <dxf>
      <numFmt numFmtId="2" formatCode="0.00"/>
    </dxf>
    <dxf>
      <numFmt numFmtId="1" formatCode="0"/>
    </dxf>
    <dxf>
      <numFmt numFmtId="2" formatCode="0.00"/>
    </dxf>
    <dxf>
      <numFmt numFmtId="1" formatCode="0"/>
    </dxf>
    <dxf>
      <alignment relativeIndent="1"/>
    </dxf>
    <dxf>
      <alignment relativeIndent="1"/>
    </dxf>
    <dxf>
      <alignment relativeIndent="1"/>
    </dxf>
    <dxf>
      <alignment relativeIndent="1"/>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4" formatCode="0.00%"/>
    </dxf>
    <dxf>
      <numFmt numFmtId="1" formatCode="0"/>
    </dxf>
    <dxf>
      <font>
        <b/>
        <color theme="1"/>
      </font>
      <border>
        <bottom style="thin">
          <color theme="5"/>
        </bottom>
        <vertical/>
        <horizontal/>
      </border>
    </dxf>
    <dxf>
      <font>
        <sz val="11"/>
        <color theme="1"/>
        <name val="Calibri"/>
        <family val="2"/>
        <scheme val="minor"/>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E3E204EF-A397-40A3-8BE2-3B4BE137C5E8}">
      <tableStyleElement type="wholeTable" dxfId="373"/>
      <tableStyleElement type="headerRow" dxfId="37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2.7212447726330836E-2"/>
          <c:y val="0.10367601521719898"/>
          <c:w val="0.94754863177987914"/>
          <c:h val="0.55553245451060196"/>
        </c:manualLayout>
      </c:layout>
      <c:barChart>
        <c:barDir val="bar"/>
        <c:grouping val="clustered"/>
        <c:varyColors val="0"/>
        <c:ser>
          <c:idx val="0"/>
          <c:order val="0"/>
          <c:tx>
            <c:strRef>
              <c:f>'Pivot Report'!$C$39:$C$40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EC40-4210-8A0B-967DCF275BB6}"/>
              </c:ext>
            </c:extLst>
          </c:dPt>
          <c:dPt>
            <c:idx val="1"/>
            <c:invertIfNegative val="0"/>
            <c:bubble3D val="0"/>
            <c:extLst>
              <c:ext xmlns:c16="http://schemas.microsoft.com/office/drawing/2014/chart" uri="{C3380CC4-5D6E-409C-BE32-E72D297353CC}">
                <c16:uniqueId val="{00000003-EC40-4210-8A0B-967DCF275BB6}"/>
              </c:ext>
            </c:extLst>
          </c:dPt>
          <c:cat>
            <c:strRef>
              <c:f>'Pivot Report'!$C$39:$C$40</c:f>
              <c:strCache>
                <c:ptCount val="2"/>
                <c:pt idx="0">
                  <c:v>Admitted</c:v>
                </c:pt>
                <c:pt idx="1">
                  <c:v>Not Admitted</c:v>
                </c:pt>
              </c:strCache>
            </c:strRef>
          </c:cat>
          <c:val>
            <c:numRef>
              <c:f>'Pivot Report'!$C$39:$C$40</c:f>
              <c:numCache>
                <c:formatCode>0</c:formatCode>
                <c:ptCount val="2"/>
                <c:pt idx="0">
                  <c:v>224</c:v>
                </c:pt>
                <c:pt idx="1">
                  <c:v>207</c:v>
                </c:pt>
              </c:numCache>
            </c:numRef>
          </c:val>
          <c:extLst>
            <c:ext xmlns:c16="http://schemas.microsoft.com/office/drawing/2014/chart" uri="{C3380CC4-5D6E-409C-BE32-E72D297353CC}">
              <c16:uniqueId val="{00000000-EC40-4210-8A0B-967DCF275BB6}"/>
            </c:ext>
          </c:extLst>
        </c:ser>
        <c:ser>
          <c:idx val="1"/>
          <c:order val="1"/>
          <c:tx>
            <c:strRef>
              <c:f>'Pivot Report'!$C$39:$C$40</c:f>
              <c:strCache>
                <c:ptCount val="1"/>
                <c:pt idx="0">
                  <c:v>Percentage Count of Patient Admission Flag</c:v>
                </c:pt>
              </c:strCache>
            </c:strRef>
          </c:tx>
          <c:spPr>
            <a:solidFill>
              <a:schemeClr val="accent2"/>
            </a:solidFill>
            <a:ln>
              <a:noFill/>
            </a:ln>
            <a:effectLst/>
          </c:spPr>
          <c:invertIfNegative val="0"/>
          <c:cat>
            <c:strRef>
              <c:f>'Pivot Report'!$C$39:$C$40</c:f>
              <c:strCache>
                <c:ptCount val="2"/>
                <c:pt idx="0">
                  <c:v>Admitted</c:v>
                </c:pt>
                <c:pt idx="1">
                  <c:v>Not Admitted</c:v>
                </c:pt>
              </c:strCache>
            </c:strRef>
          </c:cat>
          <c:val>
            <c:numRef>
              <c:f>'Pivot Report'!$C$39:$C$40</c:f>
              <c:numCache>
                <c:formatCode>0.00%</c:formatCode>
                <c:ptCount val="2"/>
                <c:pt idx="0">
                  <c:v>0.51972157772621808</c:v>
                </c:pt>
                <c:pt idx="1">
                  <c:v>0.48027842227378192</c:v>
                </c:pt>
              </c:numCache>
            </c:numRef>
          </c:val>
          <c:extLst>
            <c:ext xmlns:c16="http://schemas.microsoft.com/office/drawing/2014/chart" uri="{C3380CC4-5D6E-409C-BE32-E72D297353CC}">
              <c16:uniqueId val="{00000001-EC40-4210-8A0B-967DCF275BB6}"/>
            </c:ext>
          </c:extLst>
        </c:ser>
        <c:dLbls>
          <c:showLegendKey val="0"/>
          <c:showVal val="0"/>
          <c:showCatName val="0"/>
          <c:showSerName val="0"/>
          <c:showPercent val="0"/>
          <c:showBubbleSize val="0"/>
        </c:dLbls>
        <c:gapWidth val="182"/>
        <c:axId val="2104321184"/>
        <c:axId val="2104320704"/>
      </c:barChart>
      <c:catAx>
        <c:axId val="2104321184"/>
        <c:scaling>
          <c:orientation val="minMax"/>
        </c:scaling>
        <c:delete val="1"/>
        <c:axPos val="l"/>
        <c:numFmt formatCode="General" sourceLinked="1"/>
        <c:majorTickMark val="none"/>
        <c:minorTickMark val="none"/>
        <c:tickLblPos val="nextTo"/>
        <c:crossAx val="2104320704"/>
        <c:crosses val="autoZero"/>
        <c:auto val="1"/>
        <c:lblAlgn val="ctr"/>
        <c:lblOffset val="100"/>
        <c:noMultiLvlLbl val="0"/>
      </c:catAx>
      <c:valAx>
        <c:axId val="2104320704"/>
        <c:scaling>
          <c:orientation val="minMax"/>
        </c:scaling>
        <c:delete val="1"/>
        <c:axPos val="b"/>
        <c:numFmt formatCode="0" sourceLinked="1"/>
        <c:majorTickMark val="none"/>
        <c:minorTickMark val="none"/>
        <c:tickLblPos val="nextTo"/>
        <c:crossAx val="210432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00271002710029E-2"/>
          <c:y val="3.1446540880503145E-2"/>
          <c:w val="0.97289972899728994"/>
          <c:h val="0.76415094339622647"/>
        </c:manualLayout>
      </c:layout>
      <c:areaChart>
        <c:grouping val="standard"/>
        <c:varyColors val="0"/>
        <c:ser>
          <c:idx val="0"/>
          <c:order val="0"/>
          <c:tx>
            <c:strRef>
              <c:f>'Pivot Report'!$D$4</c:f>
              <c:strCache>
                <c:ptCount val="1"/>
                <c:pt idx="0">
                  <c:v>Total</c:v>
                </c:pt>
              </c:strCache>
            </c:strRef>
          </c:tx>
          <c:spPr>
            <a:solidFill>
              <a:schemeClr val="accent1"/>
            </a:solidFill>
            <a:ln>
              <a:noFill/>
            </a:ln>
            <a:effectLst/>
          </c:spPr>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71E0-4BC2-B4A9-AC5EE6C25B0C}"/>
            </c:ext>
          </c:extLst>
        </c:ser>
        <c:dLbls>
          <c:showLegendKey val="0"/>
          <c:showVal val="0"/>
          <c:showCatName val="0"/>
          <c:showSerName val="0"/>
          <c:showPercent val="0"/>
          <c:showBubbleSize val="0"/>
        </c:dLbls>
        <c:axId val="1596764096"/>
        <c:axId val="1596764576"/>
      </c:areaChart>
      <c:catAx>
        <c:axId val="1596764096"/>
        <c:scaling>
          <c:orientation val="minMax"/>
        </c:scaling>
        <c:delete val="1"/>
        <c:axPos val="b"/>
        <c:numFmt formatCode="General" sourceLinked="1"/>
        <c:majorTickMark val="out"/>
        <c:minorTickMark val="none"/>
        <c:tickLblPos val="nextTo"/>
        <c:crossAx val="1596764576"/>
        <c:crosses val="autoZero"/>
        <c:auto val="1"/>
        <c:lblAlgn val="ctr"/>
        <c:lblOffset val="100"/>
        <c:noMultiLvlLbl val="0"/>
      </c:catAx>
      <c:valAx>
        <c:axId val="1596764576"/>
        <c:scaling>
          <c:orientation val="minMax"/>
        </c:scaling>
        <c:delete val="1"/>
        <c:axPos val="l"/>
        <c:numFmt formatCode="General" sourceLinked="1"/>
        <c:majorTickMark val="none"/>
        <c:minorTickMark val="none"/>
        <c:tickLblPos val="nextTo"/>
        <c:crossAx val="15967640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solidFill>
              <a:schemeClr val="accent1"/>
            </a:solidFill>
            <a:ln>
              <a:noFill/>
            </a:ln>
            <a:effectLst/>
          </c:spPr>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12D6-4807-B6D7-6DD73D3DFB97}"/>
            </c:ext>
          </c:extLst>
        </c:ser>
        <c:dLbls>
          <c:showLegendKey val="0"/>
          <c:showVal val="0"/>
          <c:showCatName val="0"/>
          <c:showSerName val="0"/>
          <c:showPercent val="0"/>
          <c:showBubbleSize val="0"/>
        </c:dLbls>
        <c:axId val="2092661296"/>
        <c:axId val="2092666096"/>
      </c:areaChart>
      <c:catAx>
        <c:axId val="2092661296"/>
        <c:scaling>
          <c:orientation val="minMax"/>
        </c:scaling>
        <c:delete val="1"/>
        <c:axPos val="b"/>
        <c:numFmt formatCode="General" sourceLinked="1"/>
        <c:majorTickMark val="out"/>
        <c:minorTickMark val="none"/>
        <c:tickLblPos val="nextTo"/>
        <c:crossAx val="2092666096"/>
        <c:crosses val="autoZero"/>
        <c:auto val="1"/>
        <c:lblAlgn val="ctr"/>
        <c:lblOffset val="100"/>
        <c:noMultiLvlLbl val="0"/>
      </c:catAx>
      <c:valAx>
        <c:axId val="2092666096"/>
        <c:scaling>
          <c:orientation val="minMax"/>
        </c:scaling>
        <c:delete val="1"/>
        <c:axPos val="l"/>
        <c:numFmt formatCode="0.00" sourceLinked="1"/>
        <c:majorTickMark val="out"/>
        <c:minorTickMark val="none"/>
        <c:tickLblPos val="nextTo"/>
        <c:crossAx val="20926612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5238095238096"/>
          <c:y val="0.30388243548764327"/>
          <c:w val="0.8214285714285714"/>
          <c:h val="0.39223642836724615"/>
        </c:manualLayout>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Report'!$J$5:$J$33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B765-4ECF-A0EF-D334EA1EB218}"/>
            </c:ext>
          </c:extLst>
        </c:ser>
        <c:dLbls>
          <c:showLegendKey val="0"/>
          <c:showVal val="0"/>
          <c:showCatName val="0"/>
          <c:showSerName val="0"/>
          <c:showPercent val="0"/>
          <c:showBubbleSize val="0"/>
        </c:dLbls>
        <c:axId val="2102649696"/>
        <c:axId val="2102646336"/>
      </c:areaChart>
      <c:catAx>
        <c:axId val="2102649696"/>
        <c:scaling>
          <c:orientation val="minMax"/>
        </c:scaling>
        <c:delete val="1"/>
        <c:axPos val="b"/>
        <c:numFmt formatCode="General" sourceLinked="1"/>
        <c:majorTickMark val="out"/>
        <c:minorTickMark val="none"/>
        <c:tickLblPos val="nextTo"/>
        <c:crossAx val="2102646336"/>
        <c:crosses val="autoZero"/>
        <c:auto val="1"/>
        <c:lblAlgn val="ctr"/>
        <c:lblOffset val="100"/>
        <c:noMultiLvlLbl val="0"/>
      </c:catAx>
      <c:valAx>
        <c:axId val="2102646336"/>
        <c:scaling>
          <c:orientation val="minMax"/>
        </c:scaling>
        <c:delete val="1"/>
        <c:axPos val="l"/>
        <c:numFmt formatCode="0.00" sourceLinked="1"/>
        <c:majorTickMark val="none"/>
        <c:minorTickMark val="none"/>
        <c:tickLblPos val="nextTo"/>
        <c:crossAx val="21026496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77293369663943E-2"/>
          <c:y val="7.3333333333333334E-2"/>
          <c:w val="0.95004541326067216"/>
          <c:h val="0.71867821522309727"/>
        </c:manualLayout>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B708-49D4-9C9D-3FB8F6ED1105}"/>
            </c:ext>
          </c:extLst>
        </c:ser>
        <c:dLbls>
          <c:showLegendKey val="0"/>
          <c:showVal val="0"/>
          <c:showCatName val="0"/>
          <c:showSerName val="0"/>
          <c:showPercent val="0"/>
          <c:showBubbleSize val="0"/>
        </c:dLbls>
        <c:gapWidth val="219"/>
        <c:overlap val="-27"/>
        <c:axId val="2073808816"/>
        <c:axId val="2073811216"/>
      </c:barChart>
      <c:catAx>
        <c:axId val="207380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811216"/>
        <c:crosses val="autoZero"/>
        <c:auto val="1"/>
        <c:lblAlgn val="ctr"/>
        <c:lblOffset val="100"/>
        <c:noMultiLvlLbl val="0"/>
      </c:catAx>
      <c:valAx>
        <c:axId val="2073811216"/>
        <c:scaling>
          <c:orientation val="minMax"/>
        </c:scaling>
        <c:delete val="1"/>
        <c:axPos val="l"/>
        <c:numFmt formatCode="0" sourceLinked="1"/>
        <c:majorTickMark val="none"/>
        <c:minorTickMark val="none"/>
        <c:tickLblPos val="nextTo"/>
        <c:crossAx val="207380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Report!PivotTable9</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8095363079615048"/>
          <c:y val="0.12165826771653543"/>
          <c:w val="0.71005881209293287"/>
          <c:h val="0.76686351706036748"/>
        </c:manualLayout>
      </c:layout>
      <c:pieChart>
        <c:varyColors val="1"/>
        <c:ser>
          <c:idx val="0"/>
          <c:order val="0"/>
          <c:tx>
            <c:strRef>
              <c:f>'Pivot Report'!$B$63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CA8-4741-B198-2CAC5A02F15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CA8-4741-B198-2CAC5A02F1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283</c:v>
                </c:pt>
                <c:pt idx="1">
                  <c:v>148</c:v>
                </c:pt>
              </c:numCache>
            </c:numRef>
          </c:val>
          <c:extLst>
            <c:ext xmlns:c16="http://schemas.microsoft.com/office/drawing/2014/chart" uri="{C3380CC4-5D6E-409C-BE32-E72D297353CC}">
              <c16:uniqueId val="{00000004-1CA8-4741-B198-2CAC5A02F1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1739067993859257"/>
          <c:y val="3.9112968021854412E-3"/>
          <c:w val="0.5035325392018305"/>
          <c:h val="0.152734384889991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Report!PivotTable11</c:name>
    <c:fmtId val="1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216796102541974"/>
          <c:y val="0.21199178896412268"/>
          <c:w val="0.61935425879984174"/>
          <c:h val="0.7037021150566295"/>
        </c:manualLayout>
      </c:layout>
      <c:doughnutChart>
        <c:varyColors val="1"/>
        <c:ser>
          <c:idx val="0"/>
          <c:order val="0"/>
          <c:tx>
            <c:strRef>
              <c:f>'Pivot Report'!$B$69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63B-4E75-B571-2F1B8210138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63B-4E75-B571-2F1B821013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Female</c:v>
                </c:pt>
                <c:pt idx="1">
                  <c:v>Male</c:v>
                </c:pt>
              </c:strCache>
            </c:strRef>
          </c:cat>
          <c:val>
            <c:numRef>
              <c:f>'Pivot Report'!$B$70:$B$72</c:f>
              <c:numCache>
                <c:formatCode>0</c:formatCode>
                <c:ptCount val="2"/>
                <c:pt idx="0">
                  <c:v>194</c:v>
                </c:pt>
                <c:pt idx="1">
                  <c:v>237</c:v>
                </c:pt>
              </c:numCache>
            </c:numRef>
          </c:val>
          <c:extLst>
            <c:ext xmlns:c16="http://schemas.microsoft.com/office/drawing/2014/chart" uri="{C3380CC4-5D6E-409C-BE32-E72D297353CC}">
              <c16:uniqueId val="{00000004-A63B-4E75-B571-2F1B8210138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218252256139214"/>
          <c:y val="1.2190238987836562E-2"/>
          <c:w val="0.65095683673102511"/>
          <c:h val="0.14642860790261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Report!PivotTable12</c:name>
    <c:fmtId val="26"/>
  </c:pivotSource>
  <c:chart>
    <c:autoTitleDeleted val="1"/>
    <c:pivotFmts>
      <c:pivotFmt>
        <c:idx val="0"/>
      </c:pivotFmt>
      <c:pivotFmt>
        <c:idx val="1"/>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31273862599173"/>
          <c:y val="5.5055055055055056E-2"/>
          <c:w val="0.75130578462981445"/>
          <c:h val="0.77096606620587194"/>
        </c:manualLayout>
      </c:layout>
      <c:barChart>
        <c:barDir val="bar"/>
        <c:grouping val="clustered"/>
        <c:varyColors val="0"/>
        <c:ser>
          <c:idx val="0"/>
          <c:order val="0"/>
          <c:tx>
            <c:strRef>
              <c:f>'Pivot Report'!$B$75</c:f>
              <c:strCache>
                <c:ptCount val="1"/>
                <c:pt idx="0">
                  <c:v>Total</c:v>
                </c:pt>
              </c:strCache>
            </c:strRef>
          </c:tx>
          <c:spPr>
            <a:pattFill prst="ltUpDiag">
              <a:fgClr>
                <a:schemeClr val="accent1"/>
              </a:fgClr>
              <a:bgClr>
                <a:schemeClr val="lt1"/>
              </a:bgClr>
            </a:pattFill>
            <a:ln>
              <a:noFill/>
            </a:ln>
            <a:effectLst/>
          </c:spPr>
          <c:invertIfNegative val="0"/>
          <c:cat>
            <c:strRef>
              <c:f>'Pivot Report'!$A$76:$A$84</c:f>
              <c:strCache>
                <c:ptCount val="8"/>
                <c:pt idx="0">
                  <c:v>None</c:v>
                </c:pt>
                <c:pt idx="1">
                  <c:v>General Practice</c:v>
                </c:pt>
                <c:pt idx="2">
                  <c:v>Orthopedics</c:v>
                </c:pt>
                <c:pt idx="3">
                  <c:v>Physiotherapy</c:v>
                </c:pt>
                <c:pt idx="4">
                  <c:v>Cardiology</c:v>
                </c:pt>
                <c:pt idx="5">
                  <c:v>Gastroenterology</c:v>
                </c:pt>
                <c:pt idx="6">
                  <c:v>Renal</c:v>
                </c:pt>
                <c:pt idx="7">
                  <c:v>Neurology</c:v>
                </c:pt>
              </c:strCache>
            </c:strRef>
          </c:cat>
          <c:val>
            <c:numRef>
              <c:f>'Pivot Report'!$B$76:$B$84</c:f>
              <c:numCache>
                <c:formatCode>0</c:formatCode>
                <c:ptCount val="8"/>
                <c:pt idx="0">
                  <c:v>252</c:v>
                </c:pt>
                <c:pt idx="1">
                  <c:v>89</c:v>
                </c:pt>
                <c:pt idx="2">
                  <c:v>46</c:v>
                </c:pt>
                <c:pt idx="3">
                  <c:v>14</c:v>
                </c:pt>
                <c:pt idx="4">
                  <c:v>12</c:v>
                </c:pt>
                <c:pt idx="5">
                  <c:v>6</c:v>
                </c:pt>
                <c:pt idx="6">
                  <c:v>6</c:v>
                </c:pt>
                <c:pt idx="7">
                  <c:v>6</c:v>
                </c:pt>
              </c:numCache>
            </c:numRef>
          </c:val>
          <c:extLst>
            <c:ext xmlns:c16="http://schemas.microsoft.com/office/drawing/2014/chart" uri="{C3380CC4-5D6E-409C-BE32-E72D297353CC}">
              <c16:uniqueId val="{00000000-8B97-4E21-A9DF-CDE5AE3868C8}"/>
            </c:ext>
          </c:extLst>
        </c:ser>
        <c:dLbls>
          <c:showLegendKey val="0"/>
          <c:showVal val="0"/>
          <c:showCatName val="0"/>
          <c:showSerName val="0"/>
          <c:showPercent val="0"/>
          <c:showBubbleSize val="0"/>
        </c:dLbls>
        <c:gapWidth val="269"/>
        <c:overlap val="-20"/>
        <c:axId val="1896401168"/>
        <c:axId val="1896389648"/>
      </c:barChart>
      <c:catAx>
        <c:axId val="189640116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500" b="0" i="0" u="none" strike="noStrike" kern="1200" cap="all" spc="150" normalizeH="0" baseline="0">
                <a:solidFill>
                  <a:schemeClr val="lt1"/>
                </a:solidFill>
                <a:latin typeface="+mn-lt"/>
                <a:ea typeface="+mn-ea"/>
                <a:cs typeface="+mn-cs"/>
              </a:defRPr>
            </a:pPr>
            <a:endParaRPr lang="en-US"/>
          </a:p>
        </c:txPr>
        <c:crossAx val="1896389648"/>
        <c:crosses val="autoZero"/>
        <c:auto val="1"/>
        <c:lblAlgn val="ctr"/>
        <c:lblOffset val="100"/>
        <c:noMultiLvlLbl val="0"/>
      </c:catAx>
      <c:valAx>
        <c:axId val="18963896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9640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A12A-4FA9-B902-AA48C512084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96764096"/>
        <c:axId val="1596764576"/>
      </c:areaChart>
      <c:catAx>
        <c:axId val="15967640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6764576"/>
        <c:crosses val="autoZero"/>
        <c:auto val="1"/>
        <c:lblAlgn val="ctr"/>
        <c:lblOffset val="100"/>
        <c:noMultiLvlLbl val="0"/>
      </c:catAx>
      <c:valAx>
        <c:axId val="1596764576"/>
        <c:scaling>
          <c:orientation val="minMax"/>
        </c:scaling>
        <c:delete val="1"/>
        <c:axPos val="l"/>
        <c:numFmt formatCode="General" sourceLinked="1"/>
        <c:majorTickMark val="out"/>
        <c:minorTickMark val="none"/>
        <c:tickLblPos val="nextTo"/>
        <c:crossAx val="15967640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09376512317753E-2"/>
          <c:y val="3.4602076124567477E-2"/>
          <c:w val="0.87319663167104111"/>
          <c:h val="0.76811643336249635"/>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CE88-4625-B971-79A3D0AF351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92661296"/>
        <c:axId val="2092666096"/>
      </c:areaChart>
      <c:catAx>
        <c:axId val="20926612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92666096"/>
        <c:crosses val="autoZero"/>
        <c:auto val="1"/>
        <c:lblAlgn val="ctr"/>
        <c:lblOffset val="100"/>
        <c:noMultiLvlLbl val="0"/>
      </c:catAx>
      <c:valAx>
        <c:axId val="2092666096"/>
        <c:scaling>
          <c:orientation val="minMax"/>
        </c:scaling>
        <c:delete val="1"/>
        <c:axPos val="l"/>
        <c:numFmt formatCode="0.00" sourceLinked="1"/>
        <c:majorTickMark val="out"/>
        <c:minorTickMark val="none"/>
        <c:tickLblPos val="nextTo"/>
        <c:crossAx val="20926612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Report'!$J$5:$J$33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DE41-4842-9851-5F8AE9FE83C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02649696"/>
        <c:axId val="2102646336"/>
      </c:areaChart>
      <c:catAx>
        <c:axId val="21026496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2646336"/>
        <c:crosses val="autoZero"/>
        <c:auto val="1"/>
        <c:lblAlgn val="ctr"/>
        <c:lblOffset val="100"/>
        <c:noMultiLvlLbl val="0"/>
      </c:catAx>
      <c:valAx>
        <c:axId val="2102646336"/>
        <c:scaling>
          <c:orientation val="minMax"/>
        </c:scaling>
        <c:delete val="1"/>
        <c:axPos val="l"/>
        <c:numFmt formatCode="0.00" sourceLinked="1"/>
        <c:majorTickMark val="out"/>
        <c:minorTickMark val="none"/>
        <c:tickLblPos val="nextTo"/>
        <c:crossAx val="21026496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tisfaction Score Daily Trend'!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Avg wait time for daily trend'!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Daily ER of no. of patient'!A1"/><Relationship Id="rId1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53340</xdr:colOff>
      <xdr:row>46</xdr:row>
      <xdr:rowOff>22860</xdr:rowOff>
    </xdr:from>
    <xdr:to>
      <xdr:col>4</xdr:col>
      <xdr:colOff>7620</xdr:colOff>
      <xdr:row>49</xdr:row>
      <xdr:rowOff>7620</xdr:rowOff>
    </xdr:to>
    <xdr:graphicFrame macro="">
      <xdr:nvGraphicFramePr>
        <xdr:cNvPr id="7" name="Chart 6">
          <a:extLst>
            <a:ext uri="{FF2B5EF4-FFF2-40B4-BE49-F238E27FC236}">
              <a16:creationId xmlns:a16="http://schemas.microsoft.com/office/drawing/2014/main" id="{43F4C259-2891-1A91-B954-0794C5440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106680</xdr:rowOff>
    </xdr:from>
    <xdr:to>
      <xdr:col>11</xdr:col>
      <xdr:colOff>176696</xdr:colOff>
      <xdr:row>5</xdr:row>
      <xdr:rowOff>15240</xdr:rowOff>
    </xdr:to>
    <xdr:sp macro="" textlink="">
      <xdr:nvSpPr>
        <xdr:cNvPr id="3" name="Rectangle: Rounded Corners 2">
          <a:extLst>
            <a:ext uri="{FF2B5EF4-FFF2-40B4-BE49-F238E27FC236}">
              <a16:creationId xmlns:a16="http://schemas.microsoft.com/office/drawing/2014/main" id="{A28B237D-029C-D921-EB9F-E7FA8CEF99ED}"/>
            </a:ext>
          </a:extLst>
        </xdr:cNvPr>
        <xdr:cNvSpPr/>
      </xdr:nvSpPr>
      <xdr:spPr>
        <a:xfrm>
          <a:off x="114300" y="106680"/>
          <a:ext cx="6743700" cy="847256"/>
        </a:xfrm>
        <a:prstGeom prst="roundRect">
          <a:avLst>
            <a:gd name="adj" fmla="val 64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l"/>
          <a:endParaRPr lang="en-GB" sz="1100">
            <a:noFill/>
          </a:endParaRPr>
        </a:p>
      </xdr:txBody>
    </xdr:sp>
    <xdr:clientData/>
  </xdr:twoCellAnchor>
  <xdr:twoCellAnchor>
    <xdr:from>
      <xdr:col>2</xdr:col>
      <xdr:colOff>175260</xdr:colOff>
      <xdr:row>10</xdr:row>
      <xdr:rowOff>160020</xdr:rowOff>
    </xdr:from>
    <xdr:to>
      <xdr:col>11</xdr:col>
      <xdr:colOff>228600</xdr:colOff>
      <xdr:row>15</xdr:row>
      <xdr:rowOff>38100</xdr:rowOff>
    </xdr:to>
    <xdr:sp macro="" textlink="">
      <xdr:nvSpPr>
        <xdr:cNvPr id="5" name="Rectangle: Rounded Corners 4">
          <a:extLst>
            <a:ext uri="{FF2B5EF4-FFF2-40B4-BE49-F238E27FC236}">
              <a16:creationId xmlns:a16="http://schemas.microsoft.com/office/drawing/2014/main" id="{C72F233F-51D4-0302-AF92-00A5E7497A81}"/>
            </a:ext>
          </a:extLst>
        </xdr:cNvPr>
        <xdr:cNvSpPr/>
      </xdr:nvSpPr>
      <xdr:spPr>
        <a:xfrm>
          <a:off x="1394460" y="1988820"/>
          <a:ext cx="5539740" cy="792480"/>
        </a:xfrm>
        <a:prstGeom prst="roundRect">
          <a:avLst>
            <a:gd name="adj" fmla="val 167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l"/>
          <a:endParaRPr lang="en-GB" sz="1100">
            <a:noFill/>
          </a:endParaRPr>
        </a:p>
      </xdr:txBody>
    </xdr:sp>
    <xdr:clientData/>
  </xdr:twoCellAnchor>
  <xdr:twoCellAnchor>
    <xdr:from>
      <xdr:col>11</xdr:col>
      <xdr:colOff>358140</xdr:colOff>
      <xdr:row>0</xdr:row>
      <xdr:rowOff>99060</xdr:rowOff>
    </xdr:from>
    <xdr:to>
      <xdr:col>15</xdr:col>
      <xdr:colOff>91440</xdr:colOff>
      <xdr:row>11</xdr:row>
      <xdr:rowOff>121920</xdr:rowOff>
    </xdr:to>
    <xdr:sp macro="" textlink="">
      <xdr:nvSpPr>
        <xdr:cNvPr id="6" name="Rectangle: Rounded Corners 5">
          <a:extLst>
            <a:ext uri="{FF2B5EF4-FFF2-40B4-BE49-F238E27FC236}">
              <a16:creationId xmlns:a16="http://schemas.microsoft.com/office/drawing/2014/main" id="{2B0D9DE4-EF30-518A-B7C2-7C761EB609FC}"/>
            </a:ext>
          </a:extLst>
        </xdr:cNvPr>
        <xdr:cNvSpPr/>
      </xdr:nvSpPr>
      <xdr:spPr>
        <a:xfrm>
          <a:off x="7063740" y="99060"/>
          <a:ext cx="2171700" cy="2034540"/>
        </a:xfrm>
        <a:prstGeom prst="roundRect">
          <a:avLst>
            <a:gd name="adj" fmla="val 64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l"/>
          <a:endParaRPr lang="en-GB" sz="1100">
            <a:noFill/>
          </a:endParaRPr>
        </a:p>
      </xdr:txBody>
    </xdr:sp>
    <xdr:clientData/>
  </xdr:twoCellAnchor>
  <xdr:twoCellAnchor>
    <xdr:from>
      <xdr:col>15</xdr:col>
      <xdr:colOff>190500</xdr:colOff>
      <xdr:row>0</xdr:row>
      <xdr:rowOff>76200</xdr:rowOff>
    </xdr:from>
    <xdr:to>
      <xdr:col>18</xdr:col>
      <xdr:colOff>586740</xdr:colOff>
      <xdr:row>11</xdr:row>
      <xdr:rowOff>106680</xdr:rowOff>
    </xdr:to>
    <xdr:sp macro="" textlink="">
      <xdr:nvSpPr>
        <xdr:cNvPr id="7" name="Rectangle: Rounded Corners 6">
          <a:extLst>
            <a:ext uri="{FF2B5EF4-FFF2-40B4-BE49-F238E27FC236}">
              <a16:creationId xmlns:a16="http://schemas.microsoft.com/office/drawing/2014/main" id="{596C5070-D4E0-817C-8105-6E7D38E1953D}"/>
            </a:ext>
          </a:extLst>
        </xdr:cNvPr>
        <xdr:cNvSpPr/>
      </xdr:nvSpPr>
      <xdr:spPr>
        <a:xfrm>
          <a:off x="9334500" y="76200"/>
          <a:ext cx="2225040" cy="2042160"/>
        </a:xfrm>
        <a:prstGeom prst="roundRect">
          <a:avLst>
            <a:gd name="adj" fmla="val 6482"/>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l"/>
          <a:endParaRPr lang="en-GB" sz="1100">
            <a:noFill/>
          </a:endParaRPr>
        </a:p>
      </xdr:txBody>
    </xdr:sp>
    <xdr:clientData/>
  </xdr:twoCellAnchor>
  <xdr:twoCellAnchor>
    <xdr:from>
      <xdr:col>2</xdr:col>
      <xdr:colOff>175260</xdr:colOff>
      <xdr:row>5</xdr:row>
      <xdr:rowOff>114300</xdr:rowOff>
    </xdr:from>
    <xdr:to>
      <xdr:col>5</xdr:col>
      <xdr:colOff>137160</xdr:colOff>
      <xdr:row>9</xdr:row>
      <xdr:rowOff>175260</xdr:rowOff>
    </xdr:to>
    <xdr:sp macro="" textlink="">
      <xdr:nvSpPr>
        <xdr:cNvPr id="14" name="Rectangle: Rounded Corners 13">
          <a:extLst>
            <a:ext uri="{FF2B5EF4-FFF2-40B4-BE49-F238E27FC236}">
              <a16:creationId xmlns:a16="http://schemas.microsoft.com/office/drawing/2014/main" id="{151E6E4D-3256-F56A-AEF8-D8088E27050A}"/>
            </a:ext>
          </a:extLst>
        </xdr:cNvPr>
        <xdr:cNvSpPr/>
      </xdr:nvSpPr>
      <xdr:spPr>
        <a:xfrm>
          <a:off x="1394460" y="1028700"/>
          <a:ext cx="1790700" cy="792480"/>
        </a:xfrm>
        <a:prstGeom prst="roundRect">
          <a:avLst>
            <a:gd name="adj" fmla="val 64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l"/>
          <a:endParaRPr lang="en-GB" sz="1100">
            <a:noFill/>
          </a:endParaRPr>
        </a:p>
      </xdr:txBody>
    </xdr:sp>
    <xdr:clientData/>
  </xdr:twoCellAnchor>
  <xdr:twoCellAnchor>
    <xdr:from>
      <xdr:col>2</xdr:col>
      <xdr:colOff>167640</xdr:colOff>
      <xdr:row>15</xdr:row>
      <xdr:rowOff>114300</xdr:rowOff>
    </xdr:from>
    <xdr:to>
      <xdr:col>11</xdr:col>
      <xdr:colOff>259080</xdr:colOff>
      <xdr:row>26</xdr:row>
      <xdr:rowOff>68580</xdr:rowOff>
    </xdr:to>
    <xdr:sp macro="" textlink="">
      <xdr:nvSpPr>
        <xdr:cNvPr id="16" name="Rectangle: Rounded Corners 15">
          <a:extLst>
            <a:ext uri="{FF2B5EF4-FFF2-40B4-BE49-F238E27FC236}">
              <a16:creationId xmlns:a16="http://schemas.microsoft.com/office/drawing/2014/main" id="{543B6E9A-F4E2-7E18-84C5-A430AD901761}"/>
            </a:ext>
          </a:extLst>
        </xdr:cNvPr>
        <xdr:cNvSpPr/>
      </xdr:nvSpPr>
      <xdr:spPr>
        <a:xfrm>
          <a:off x="1386840" y="2857500"/>
          <a:ext cx="5577840" cy="1965960"/>
        </a:xfrm>
        <a:prstGeom prst="roundRect">
          <a:avLst>
            <a:gd name="adj" fmla="val 14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l"/>
          <a:endParaRPr lang="en-GB" sz="1100">
            <a:noFill/>
          </a:endParaRPr>
        </a:p>
      </xdr:txBody>
    </xdr:sp>
    <xdr:clientData/>
  </xdr:twoCellAnchor>
  <xdr:twoCellAnchor>
    <xdr:from>
      <xdr:col>11</xdr:col>
      <xdr:colOff>381000</xdr:colOff>
      <xdr:row>12</xdr:row>
      <xdr:rowOff>30480</xdr:rowOff>
    </xdr:from>
    <xdr:to>
      <xdr:col>19</xdr:col>
      <xdr:colOff>22860</xdr:colOff>
      <xdr:row>26</xdr:row>
      <xdr:rowOff>30480</xdr:rowOff>
    </xdr:to>
    <xdr:sp macro="" textlink="">
      <xdr:nvSpPr>
        <xdr:cNvPr id="17" name="Rectangle: Rounded Corners 16">
          <a:extLst>
            <a:ext uri="{FF2B5EF4-FFF2-40B4-BE49-F238E27FC236}">
              <a16:creationId xmlns:a16="http://schemas.microsoft.com/office/drawing/2014/main" id="{63AA92BB-125A-660A-8FA6-4DC49AF9CC66}"/>
            </a:ext>
          </a:extLst>
        </xdr:cNvPr>
        <xdr:cNvSpPr/>
      </xdr:nvSpPr>
      <xdr:spPr>
        <a:xfrm>
          <a:off x="7086600" y="2225040"/>
          <a:ext cx="4518660" cy="2560320"/>
        </a:xfrm>
        <a:prstGeom prst="roundRect">
          <a:avLst>
            <a:gd name="adj" fmla="val 64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l"/>
          <a:endParaRPr lang="en-GB" sz="1100">
            <a:noFill/>
          </a:endParaRPr>
        </a:p>
      </xdr:txBody>
    </xdr:sp>
    <xdr:clientData/>
  </xdr:twoCellAnchor>
  <xdr:twoCellAnchor>
    <xdr:from>
      <xdr:col>5</xdr:col>
      <xdr:colOff>190500</xdr:colOff>
      <xdr:row>5</xdr:row>
      <xdr:rowOff>114300</xdr:rowOff>
    </xdr:from>
    <xdr:to>
      <xdr:col>8</xdr:col>
      <xdr:colOff>152400</xdr:colOff>
      <xdr:row>9</xdr:row>
      <xdr:rowOff>175260</xdr:rowOff>
    </xdr:to>
    <xdr:sp macro="" textlink="">
      <xdr:nvSpPr>
        <xdr:cNvPr id="18" name="Rectangle: Rounded Corners 17">
          <a:extLst>
            <a:ext uri="{FF2B5EF4-FFF2-40B4-BE49-F238E27FC236}">
              <a16:creationId xmlns:a16="http://schemas.microsoft.com/office/drawing/2014/main" id="{68518AC0-03BC-99AD-B9ED-A014DCDFFB79}"/>
            </a:ext>
          </a:extLst>
        </xdr:cNvPr>
        <xdr:cNvSpPr/>
      </xdr:nvSpPr>
      <xdr:spPr>
        <a:xfrm>
          <a:off x="3238500" y="1028700"/>
          <a:ext cx="1790700" cy="792480"/>
        </a:xfrm>
        <a:prstGeom prst="roundRect">
          <a:avLst>
            <a:gd name="adj" fmla="val 64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l"/>
          <a:endParaRPr lang="en-GB" sz="1100">
            <a:noFill/>
          </a:endParaRPr>
        </a:p>
      </xdr:txBody>
    </xdr:sp>
    <xdr:clientData/>
  </xdr:twoCellAnchor>
  <xdr:twoCellAnchor>
    <xdr:from>
      <xdr:col>8</xdr:col>
      <xdr:colOff>259080</xdr:colOff>
      <xdr:row>5</xdr:row>
      <xdr:rowOff>121920</xdr:rowOff>
    </xdr:from>
    <xdr:to>
      <xdr:col>11</xdr:col>
      <xdr:colOff>220980</xdr:colOff>
      <xdr:row>10</xdr:row>
      <xdr:rowOff>0</xdr:rowOff>
    </xdr:to>
    <xdr:sp macro="" textlink="">
      <xdr:nvSpPr>
        <xdr:cNvPr id="20" name="Rectangle: Rounded Corners 19">
          <a:extLst>
            <a:ext uri="{FF2B5EF4-FFF2-40B4-BE49-F238E27FC236}">
              <a16:creationId xmlns:a16="http://schemas.microsoft.com/office/drawing/2014/main" id="{1FE00315-A536-675E-0273-E337259145ED}"/>
            </a:ext>
          </a:extLst>
        </xdr:cNvPr>
        <xdr:cNvSpPr/>
      </xdr:nvSpPr>
      <xdr:spPr>
        <a:xfrm>
          <a:off x="5135880" y="1036320"/>
          <a:ext cx="1790700" cy="792480"/>
        </a:xfrm>
        <a:prstGeom prst="roundRect">
          <a:avLst>
            <a:gd name="adj" fmla="val 648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l"/>
          <a:endParaRPr lang="en-GB" sz="1100">
            <a:noFill/>
          </a:endParaRPr>
        </a:p>
      </xdr:txBody>
    </xdr:sp>
    <xdr:clientData/>
  </xdr:twoCellAnchor>
  <xdr:oneCellAnchor>
    <xdr:from>
      <xdr:col>2</xdr:col>
      <xdr:colOff>336274</xdr:colOff>
      <xdr:row>0</xdr:row>
      <xdr:rowOff>103588</xdr:rowOff>
    </xdr:from>
    <xdr:ext cx="3947160" cy="373380"/>
    <xdr:sp macro="" textlink="">
      <xdr:nvSpPr>
        <xdr:cNvPr id="22" name="TextBox 21">
          <a:extLst>
            <a:ext uri="{FF2B5EF4-FFF2-40B4-BE49-F238E27FC236}">
              <a16:creationId xmlns:a16="http://schemas.microsoft.com/office/drawing/2014/main" id="{A86F96CD-F99A-7B85-B0F7-9F7D47615893}"/>
            </a:ext>
          </a:extLst>
        </xdr:cNvPr>
        <xdr:cNvSpPr txBox="1"/>
      </xdr:nvSpPr>
      <xdr:spPr>
        <a:xfrm>
          <a:off x="1551057" y="103588"/>
          <a:ext cx="39471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GB" sz="1800" b="1">
              <a:effectLst/>
              <a:latin typeface="+mj-lt"/>
            </a:rPr>
            <a:t>Hospital Emergency Room</a:t>
          </a:r>
          <a:r>
            <a:rPr lang="en-GB" sz="1800" b="1" baseline="0">
              <a:effectLst/>
              <a:latin typeface="+mj-lt"/>
            </a:rPr>
            <a:t> Dashboard</a:t>
          </a:r>
          <a:endParaRPr lang="en-GB" sz="1800" b="1">
            <a:effectLst/>
            <a:latin typeface="+mj-lt"/>
          </a:endParaRPr>
        </a:p>
      </xdr:txBody>
    </xdr:sp>
    <xdr:clientData/>
  </xdr:oneCellAnchor>
  <xdr:oneCellAnchor>
    <xdr:from>
      <xdr:col>4</xdr:col>
      <xdr:colOff>403750</xdr:colOff>
      <xdr:row>2</xdr:row>
      <xdr:rowOff>12258</xdr:rowOff>
    </xdr:from>
    <xdr:ext cx="1584960" cy="297180"/>
    <xdr:sp macro="" textlink="">
      <xdr:nvSpPr>
        <xdr:cNvPr id="25" name="TextBox 24">
          <a:extLst>
            <a:ext uri="{FF2B5EF4-FFF2-40B4-BE49-F238E27FC236}">
              <a16:creationId xmlns:a16="http://schemas.microsoft.com/office/drawing/2014/main" id="{591DCFBB-0930-785A-EF9E-186CA392C42A}"/>
            </a:ext>
          </a:extLst>
        </xdr:cNvPr>
        <xdr:cNvSpPr txBox="1"/>
      </xdr:nvSpPr>
      <xdr:spPr>
        <a:xfrm>
          <a:off x="2833315" y="387736"/>
          <a:ext cx="15849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GB" sz="1400" b="0" baseline="0">
              <a:solidFill>
                <a:schemeClr val="dk1"/>
              </a:solidFill>
              <a:effectLst/>
              <a:latin typeface="Cambria Math" panose="02040503050406030204" pitchFamily="18" charset="0"/>
              <a:ea typeface="Cambria Math" panose="02040503050406030204" pitchFamily="18" charset="0"/>
            </a:rPr>
            <a:t>Monthly report</a:t>
          </a:r>
          <a:endParaRPr lang="en-GB" sz="1400" b="0">
            <a:solidFill>
              <a:schemeClr val="dk1"/>
            </a:solidFill>
            <a:effectLst/>
            <a:latin typeface="Cambria Math" panose="02040503050406030204" pitchFamily="18" charset="0"/>
            <a:ea typeface="Cambria Math" panose="02040503050406030204" pitchFamily="18" charset="0"/>
          </a:endParaRPr>
        </a:p>
      </xdr:txBody>
    </xdr:sp>
    <xdr:clientData/>
  </xdr:oneCellAnchor>
  <xdr:twoCellAnchor editAs="oneCell">
    <xdr:from>
      <xdr:col>5</xdr:col>
      <xdr:colOff>541020</xdr:colOff>
      <xdr:row>20</xdr:row>
      <xdr:rowOff>68580</xdr:rowOff>
    </xdr:from>
    <xdr:to>
      <xdr:col>8</xdr:col>
      <xdr:colOff>400294</xdr:colOff>
      <xdr:row>25</xdr:row>
      <xdr:rowOff>91439</xdr:rowOff>
    </xdr:to>
    <xdr:pic>
      <xdr:nvPicPr>
        <xdr:cNvPr id="29" name="Picture 28">
          <a:extLst>
            <a:ext uri="{FF2B5EF4-FFF2-40B4-BE49-F238E27FC236}">
              <a16:creationId xmlns:a16="http://schemas.microsoft.com/office/drawing/2014/main" id="{711C93AD-E58D-2FC9-6660-DCC25B87A32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31030" t="565827" r="-386728" b="-621525"/>
        <a:stretch/>
      </xdr:blipFill>
      <xdr:spPr>
        <a:xfrm>
          <a:off x="3589020" y="3726180"/>
          <a:ext cx="1688074" cy="937259"/>
        </a:xfrm>
        <a:prstGeom prst="rect">
          <a:avLst/>
        </a:prstGeom>
      </xdr:spPr>
    </xdr:pic>
    <xdr:clientData/>
  </xdr:twoCellAnchor>
  <xdr:twoCellAnchor editAs="oneCell">
    <xdr:from>
      <xdr:col>0</xdr:col>
      <xdr:colOff>1</xdr:colOff>
      <xdr:row>0</xdr:row>
      <xdr:rowOff>114300</xdr:rowOff>
    </xdr:from>
    <xdr:to>
      <xdr:col>1</xdr:col>
      <xdr:colOff>403861</xdr:colOff>
      <xdr:row>5</xdr:row>
      <xdr:rowOff>22860</xdr:rowOff>
    </xdr:to>
    <xdr:pic>
      <xdr:nvPicPr>
        <xdr:cNvPr id="31" name="Picture 30">
          <a:extLst>
            <a:ext uri="{FF2B5EF4-FFF2-40B4-BE49-F238E27FC236}">
              <a16:creationId xmlns:a16="http://schemas.microsoft.com/office/drawing/2014/main" id="{6F5F0C12-0C33-1D6E-0DF3-57CD465F5EB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857" r="2981"/>
        <a:stretch/>
      </xdr:blipFill>
      <xdr:spPr>
        <a:xfrm>
          <a:off x="1" y="114300"/>
          <a:ext cx="1013460" cy="822960"/>
        </a:xfrm>
        <a:prstGeom prst="rect">
          <a:avLst/>
        </a:prstGeom>
      </xdr:spPr>
    </xdr:pic>
    <xdr:clientData/>
  </xdr:twoCellAnchor>
  <xdr:oneCellAnchor>
    <xdr:from>
      <xdr:col>2</xdr:col>
      <xdr:colOff>342900</xdr:colOff>
      <xdr:row>7</xdr:row>
      <xdr:rowOff>53340</xdr:rowOff>
    </xdr:from>
    <xdr:ext cx="1165860" cy="236220"/>
    <xdr:sp macro="" textlink="">
      <xdr:nvSpPr>
        <xdr:cNvPr id="33" name="TextBox 32">
          <a:extLst>
            <a:ext uri="{FF2B5EF4-FFF2-40B4-BE49-F238E27FC236}">
              <a16:creationId xmlns:a16="http://schemas.microsoft.com/office/drawing/2014/main" id="{15546664-A99B-F1A5-3337-484807AAFDFC}"/>
            </a:ext>
          </a:extLst>
        </xdr:cNvPr>
        <xdr:cNvSpPr txBox="1"/>
      </xdr:nvSpPr>
      <xdr:spPr>
        <a:xfrm>
          <a:off x="1562100" y="1333500"/>
          <a:ext cx="11658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GB" sz="1200" b="0" baseline="0">
              <a:solidFill>
                <a:schemeClr val="dk1"/>
              </a:solidFill>
              <a:effectLst/>
              <a:latin typeface="Cambria Math" panose="02040503050406030204" pitchFamily="18" charset="0"/>
              <a:ea typeface="Cambria Math" panose="02040503050406030204" pitchFamily="18" charset="0"/>
            </a:rPr>
            <a:t>No.of Patients</a:t>
          </a:r>
          <a:endParaRPr lang="en-GB" sz="1200" b="0">
            <a:solidFill>
              <a:schemeClr val="dk1"/>
            </a:solidFill>
            <a:effectLst/>
            <a:latin typeface="Cambria Math" panose="02040503050406030204" pitchFamily="18" charset="0"/>
            <a:ea typeface="Cambria Math" panose="02040503050406030204" pitchFamily="18" charset="0"/>
          </a:endParaRPr>
        </a:p>
      </xdr:txBody>
    </xdr:sp>
    <xdr:clientData/>
  </xdr:oneCellAnchor>
  <xdr:oneCellAnchor>
    <xdr:from>
      <xdr:col>2</xdr:col>
      <xdr:colOff>464820</xdr:colOff>
      <xdr:row>5</xdr:row>
      <xdr:rowOff>137160</xdr:rowOff>
    </xdr:from>
    <xdr:ext cx="754380" cy="297180"/>
    <xdr:sp macro="" textlink="'Pivot Report'!A5">
      <xdr:nvSpPr>
        <xdr:cNvPr id="34" name="TextBox 33">
          <a:extLst>
            <a:ext uri="{FF2B5EF4-FFF2-40B4-BE49-F238E27FC236}">
              <a16:creationId xmlns:a16="http://schemas.microsoft.com/office/drawing/2014/main" id="{798BAED3-3B93-786C-5421-FAE04291743A}"/>
            </a:ext>
          </a:extLst>
        </xdr:cNvPr>
        <xdr:cNvSpPr txBox="1"/>
      </xdr:nvSpPr>
      <xdr:spPr>
        <a:xfrm>
          <a:off x="1684020" y="1051560"/>
          <a:ext cx="7543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fld id="{BAEDF207-677F-46FC-9C58-CE41A475B8A6}" type="TxLink">
            <a:rPr lang="en-US" sz="2000" b="0" i="0" u="none" strike="noStrike" baseline="0">
              <a:solidFill>
                <a:srgbClr val="000000"/>
              </a:solidFill>
              <a:effectLst/>
              <a:latin typeface="Calibri"/>
              <a:ea typeface="Calibri"/>
              <a:cs typeface="Calibri"/>
            </a:rPr>
            <a:pPr algn="ctr"/>
            <a:t>431</a:t>
          </a:fld>
          <a:endParaRPr lang="en-GB" sz="4800" b="0">
            <a:solidFill>
              <a:schemeClr val="dk1"/>
            </a:solidFill>
            <a:effectLst/>
            <a:latin typeface="Cambria Math" panose="02040503050406030204" pitchFamily="18" charset="0"/>
            <a:ea typeface="Cambria Math" panose="02040503050406030204" pitchFamily="18" charset="0"/>
          </a:endParaRPr>
        </a:p>
      </xdr:txBody>
    </xdr:sp>
    <xdr:clientData/>
  </xdr:oneCellAnchor>
  <xdr:oneCellAnchor>
    <xdr:from>
      <xdr:col>5</xdr:col>
      <xdr:colOff>205740</xdr:colOff>
      <xdr:row>7</xdr:row>
      <xdr:rowOff>53340</xdr:rowOff>
    </xdr:from>
    <xdr:ext cx="1554480" cy="175260"/>
    <xdr:sp macro="" textlink="">
      <xdr:nvSpPr>
        <xdr:cNvPr id="35" name="TextBox 34">
          <a:extLst>
            <a:ext uri="{FF2B5EF4-FFF2-40B4-BE49-F238E27FC236}">
              <a16:creationId xmlns:a16="http://schemas.microsoft.com/office/drawing/2014/main" id="{8B81245D-3CAF-3A9F-9BDF-A79BFB9A21A6}"/>
            </a:ext>
          </a:extLst>
        </xdr:cNvPr>
        <xdr:cNvSpPr txBox="1"/>
      </xdr:nvSpPr>
      <xdr:spPr>
        <a:xfrm>
          <a:off x="3253740" y="1333500"/>
          <a:ext cx="15544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GB" sz="1200" b="0" baseline="0">
              <a:solidFill>
                <a:schemeClr val="dk1"/>
              </a:solidFill>
              <a:effectLst/>
              <a:latin typeface="Cambria Math" panose="02040503050406030204" pitchFamily="18" charset="0"/>
              <a:ea typeface="Cambria Math" panose="02040503050406030204" pitchFamily="18" charset="0"/>
            </a:rPr>
            <a:t>Avg patient wait time</a:t>
          </a:r>
          <a:endParaRPr lang="en-GB" sz="1200" b="0">
            <a:solidFill>
              <a:schemeClr val="dk1"/>
            </a:solidFill>
            <a:effectLst/>
            <a:latin typeface="Cambria Math" panose="02040503050406030204" pitchFamily="18" charset="0"/>
            <a:ea typeface="Cambria Math" panose="02040503050406030204" pitchFamily="18" charset="0"/>
          </a:endParaRPr>
        </a:p>
      </xdr:txBody>
    </xdr:sp>
    <xdr:clientData/>
  </xdr:oneCellAnchor>
  <xdr:oneCellAnchor>
    <xdr:from>
      <xdr:col>5</xdr:col>
      <xdr:colOff>335280</xdr:colOff>
      <xdr:row>5</xdr:row>
      <xdr:rowOff>152400</xdr:rowOff>
    </xdr:from>
    <xdr:ext cx="800100" cy="297180"/>
    <xdr:sp macro="" textlink="'Pivot Report'!A9">
      <xdr:nvSpPr>
        <xdr:cNvPr id="36" name="TextBox 35">
          <a:extLst>
            <a:ext uri="{FF2B5EF4-FFF2-40B4-BE49-F238E27FC236}">
              <a16:creationId xmlns:a16="http://schemas.microsoft.com/office/drawing/2014/main" id="{11E3BB38-C4D8-85C9-A91F-4FC5A1EF0251}"/>
            </a:ext>
          </a:extLst>
        </xdr:cNvPr>
        <xdr:cNvSpPr txBox="1"/>
      </xdr:nvSpPr>
      <xdr:spPr>
        <a:xfrm>
          <a:off x="3383280" y="1066800"/>
          <a:ext cx="8001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fld id="{6866F372-A792-427C-A67E-E72254819B4B}" type="TxLink">
            <a:rPr lang="en-US" sz="2000" b="0" i="0" u="none" strike="noStrike" baseline="0">
              <a:solidFill>
                <a:srgbClr val="000000"/>
              </a:solidFill>
              <a:effectLst/>
              <a:latin typeface="Calibri"/>
              <a:ea typeface="Calibri"/>
              <a:cs typeface="Calibri"/>
            </a:rPr>
            <a:pPr algn="ctr"/>
            <a:t>36.67</a:t>
          </a:fld>
          <a:endParaRPr lang="en-GB" sz="4800" b="0">
            <a:solidFill>
              <a:schemeClr val="dk1"/>
            </a:solidFill>
            <a:effectLst/>
            <a:latin typeface="Cambria Math" panose="02040503050406030204" pitchFamily="18" charset="0"/>
            <a:ea typeface="Cambria Math" panose="02040503050406030204" pitchFamily="18" charset="0"/>
          </a:endParaRPr>
        </a:p>
      </xdr:txBody>
    </xdr:sp>
    <xdr:clientData/>
  </xdr:oneCellAnchor>
  <xdr:oneCellAnchor>
    <xdr:from>
      <xdr:col>8</xdr:col>
      <xdr:colOff>190500</xdr:colOff>
      <xdr:row>7</xdr:row>
      <xdr:rowOff>60960</xdr:rowOff>
    </xdr:from>
    <xdr:ext cx="1828800" cy="228600"/>
    <xdr:sp macro="" textlink="">
      <xdr:nvSpPr>
        <xdr:cNvPr id="37" name="TextBox 36">
          <a:extLst>
            <a:ext uri="{FF2B5EF4-FFF2-40B4-BE49-F238E27FC236}">
              <a16:creationId xmlns:a16="http://schemas.microsoft.com/office/drawing/2014/main" id="{094B9F8D-41F5-A532-2DBE-CA3FDB375C3E}"/>
            </a:ext>
          </a:extLst>
        </xdr:cNvPr>
        <xdr:cNvSpPr txBox="1"/>
      </xdr:nvSpPr>
      <xdr:spPr>
        <a:xfrm>
          <a:off x="5067300" y="1341120"/>
          <a:ext cx="1828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GB" sz="1200" b="0" baseline="0">
              <a:solidFill>
                <a:schemeClr val="dk1"/>
              </a:solidFill>
              <a:effectLst/>
              <a:latin typeface="Cambria Math" panose="02040503050406030204" pitchFamily="18" charset="0"/>
              <a:ea typeface="Cambria Math" panose="02040503050406030204" pitchFamily="18" charset="0"/>
            </a:rPr>
            <a:t>patient satisfaction score</a:t>
          </a:r>
          <a:endParaRPr lang="en-GB" sz="1200" b="0">
            <a:solidFill>
              <a:schemeClr val="dk1"/>
            </a:solidFill>
            <a:effectLst/>
            <a:latin typeface="Cambria Math" panose="02040503050406030204" pitchFamily="18" charset="0"/>
            <a:ea typeface="Cambria Math" panose="02040503050406030204" pitchFamily="18" charset="0"/>
          </a:endParaRPr>
        </a:p>
      </xdr:txBody>
    </xdr:sp>
    <xdr:clientData/>
  </xdr:oneCellAnchor>
  <xdr:oneCellAnchor>
    <xdr:from>
      <xdr:col>8</xdr:col>
      <xdr:colOff>304800</xdr:colOff>
      <xdr:row>5</xdr:row>
      <xdr:rowOff>152400</xdr:rowOff>
    </xdr:from>
    <xdr:ext cx="685800" cy="297180"/>
    <xdr:sp macro="" textlink="'Pivot Report'!A13">
      <xdr:nvSpPr>
        <xdr:cNvPr id="38" name="TextBox 37">
          <a:extLst>
            <a:ext uri="{FF2B5EF4-FFF2-40B4-BE49-F238E27FC236}">
              <a16:creationId xmlns:a16="http://schemas.microsoft.com/office/drawing/2014/main" id="{147EFAE4-426F-32B1-B7C9-95DABB4D482F}"/>
            </a:ext>
          </a:extLst>
        </xdr:cNvPr>
        <xdr:cNvSpPr txBox="1"/>
      </xdr:nvSpPr>
      <xdr:spPr>
        <a:xfrm>
          <a:off x="5181600" y="1066800"/>
          <a:ext cx="6858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fld id="{DB255101-6A06-4E0B-93EE-DE217AA42225}" type="TxLink">
            <a:rPr lang="en-US" sz="2000" b="0" i="0" u="none" strike="noStrike" baseline="0">
              <a:solidFill>
                <a:srgbClr val="000000"/>
              </a:solidFill>
              <a:effectLst/>
              <a:latin typeface="Calibri"/>
              <a:ea typeface="Calibri"/>
              <a:cs typeface="Calibri"/>
            </a:rPr>
            <a:pPr algn="ctr"/>
            <a:t>4.72</a:t>
          </a:fld>
          <a:endParaRPr lang="en-GB" sz="4800" b="0">
            <a:solidFill>
              <a:schemeClr val="dk1"/>
            </a:solidFill>
            <a:effectLst/>
            <a:latin typeface="Cambria Math" panose="02040503050406030204" pitchFamily="18" charset="0"/>
            <a:ea typeface="Cambria Math" panose="02040503050406030204" pitchFamily="18" charset="0"/>
          </a:endParaRPr>
        </a:p>
      </xdr:txBody>
    </xdr:sp>
    <xdr:clientData/>
  </xdr:oneCellAnchor>
  <xdr:twoCellAnchor editAs="oneCell">
    <xdr:from>
      <xdr:col>4</xdr:col>
      <xdr:colOff>99061</xdr:colOff>
      <xdr:row>5</xdr:row>
      <xdr:rowOff>76200</xdr:rowOff>
    </xdr:from>
    <xdr:to>
      <xdr:col>4</xdr:col>
      <xdr:colOff>579121</xdr:colOff>
      <xdr:row>7</xdr:row>
      <xdr:rowOff>114300</xdr:rowOff>
    </xdr:to>
    <xdr:pic>
      <xdr:nvPicPr>
        <xdr:cNvPr id="40" name="Graphic 39" descr="Employee badge with solid fill">
          <a:extLst>
            <a:ext uri="{FF2B5EF4-FFF2-40B4-BE49-F238E27FC236}">
              <a16:creationId xmlns:a16="http://schemas.microsoft.com/office/drawing/2014/main" id="{EE7878A2-A3E3-E1C5-BA63-FDA80D2CA8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37461" y="990600"/>
          <a:ext cx="480060" cy="403860"/>
        </a:xfrm>
        <a:prstGeom prst="rect">
          <a:avLst/>
        </a:prstGeom>
      </xdr:spPr>
    </xdr:pic>
    <xdr:clientData/>
  </xdr:twoCellAnchor>
  <xdr:twoCellAnchor editAs="oneCell">
    <xdr:from>
      <xdr:col>7</xdr:col>
      <xdr:colOff>480060</xdr:colOff>
      <xdr:row>5</xdr:row>
      <xdr:rowOff>158635</xdr:rowOff>
    </xdr:from>
    <xdr:to>
      <xdr:col>8</xdr:col>
      <xdr:colOff>228600</xdr:colOff>
      <xdr:row>7</xdr:row>
      <xdr:rowOff>145588</xdr:rowOff>
    </xdr:to>
    <xdr:pic>
      <xdr:nvPicPr>
        <xdr:cNvPr id="42" name="Graphic 41" descr="Hourglass Finished with solid fill">
          <a:extLst>
            <a:ext uri="{FF2B5EF4-FFF2-40B4-BE49-F238E27FC236}">
              <a16:creationId xmlns:a16="http://schemas.microsoft.com/office/drawing/2014/main" id="{69845913-32AC-4AE7-5EB6-F2E5C31C216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47260" y="1073035"/>
          <a:ext cx="358140" cy="352713"/>
        </a:xfrm>
        <a:prstGeom prst="rect">
          <a:avLst/>
        </a:prstGeom>
      </xdr:spPr>
    </xdr:pic>
    <xdr:clientData/>
  </xdr:twoCellAnchor>
  <xdr:twoCellAnchor editAs="oneCell">
    <xdr:from>
      <xdr:col>10</xdr:col>
      <xdr:colOff>312420</xdr:colOff>
      <xdr:row>5</xdr:row>
      <xdr:rowOff>114300</xdr:rowOff>
    </xdr:from>
    <xdr:to>
      <xdr:col>11</xdr:col>
      <xdr:colOff>76200</xdr:colOff>
      <xdr:row>7</xdr:row>
      <xdr:rowOff>121920</xdr:rowOff>
    </xdr:to>
    <xdr:pic>
      <xdr:nvPicPr>
        <xdr:cNvPr id="44" name="Graphic 43" descr="Checklist with solid fill">
          <a:extLst>
            <a:ext uri="{FF2B5EF4-FFF2-40B4-BE49-F238E27FC236}">
              <a16:creationId xmlns:a16="http://schemas.microsoft.com/office/drawing/2014/main" id="{F52D6464-C6F1-3A87-3BAD-93F1BE8C7E0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08420" y="1028700"/>
          <a:ext cx="373380" cy="373380"/>
        </a:xfrm>
        <a:prstGeom prst="rect">
          <a:avLst/>
        </a:prstGeom>
      </xdr:spPr>
    </xdr:pic>
    <xdr:clientData/>
  </xdr:twoCellAnchor>
  <xdr:twoCellAnchor editAs="oneCell">
    <xdr:from>
      <xdr:col>0</xdr:col>
      <xdr:colOff>121920</xdr:colOff>
      <xdr:row>5</xdr:row>
      <xdr:rowOff>121920</xdr:rowOff>
    </xdr:from>
    <xdr:to>
      <xdr:col>2</xdr:col>
      <xdr:colOff>10170</xdr:colOff>
      <xdr:row>26</xdr:row>
      <xdr:rowOff>76200</xdr:rowOff>
    </xdr:to>
    <mc:AlternateContent xmlns:mc="http://schemas.openxmlformats.org/markup-compatibility/2006" xmlns:a14="http://schemas.microsoft.com/office/drawing/2010/main">
      <mc:Choice Requires="a14">
        <xdr:graphicFrame macro="">
          <xdr:nvGraphicFramePr>
            <xdr:cNvPr id="45" name="Date (Month)">
              <a:extLst>
                <a:ext uri="{FF2B5EF4-FFF2-40B4-BE49-F238E27FC236}">
                  <a16:creationId xmlns:a16="http://schemas.microsoft.com/office/drawing/2014/main" id="{64724420-192D-42D9-908C-B9AD5F0CF66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1920" y="1054981"/>
              <a:ext cx="1101230" cy="38731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106680</xdr:colOff>
      <xdr:row>7</xdr:row>
      <xdr:rowOff>114300</xdr:rowOff>
    </xdr:from>
    <xdr:to>
      <xdr:col>5</xdr:col>
      <xdr:colOff>152400</xdr:colOff>
      <xdr:row>10</xdr:row>
      <xdr:rowOff>160020</xdr:rowOff>
    </xdr:to>
    <xdr:graphicFrame macro="">
      <xdr:nvGraphicFramePr>
        <xdr:cNvPr id="48" name="Chart 47">
          <a:hlinkClick xmlns:r="http://schemas.openxmlformats.org/officeDocument/2006/relationships" r:id="rId9"/>
          <a:extLst>
            <a:ext uri="{FF2B5EF4-FFF2-40B4-BE49-F238E27FC236}">
              <a16:creationId xmlns:a16="http://schemas.microsoft.com/office/drawing/2014/main" id="{4ADCC5C3-AF31-4BD4-8A2E-23A5E9078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53340</xdr:colOff>
      <xdr:row>7</xdr:row>
      <xdr:rowOff>144780</xdr:rowOff>
    </xdr:from>
    <xdr:to>
      <xdr:col>8</xdr:col>
      <xdr:colOff>335280</xdr:colOff>
      <xdr:row>10</xdr:row>
      <xdr:rowOff>160020</xdr:rowOff>
    </xdr:to>
    <xdr:graphicFrame macro="">
      <xdr:nvGraphicFramePr>
        <xdr:cNvPr id="50" name="Chart 49">
          <a:hlinkClick xmlns:r="http://schemas.openxmlformats.org/officeDocument/2006/relationships" r:id="rId11"/>
          <a:extLst>
            <a:ext uri="{FF2B5EF4-FFF2-40B4-BE49-F238E27FC236}">
              <a16:creationId xmlns:a16="http://schemas.microsoft.com/office/drawing/2014/main" id="{DD01905A-3525-4A20-9C5E-B20C66B59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533400</xdr:colOff>
      <xdr:row>7</xdr:row>
      <xdr:rowOff>91440</xdr:rowOff>
    </xdr:from>
    <xdr:to>
      <xdr:col>11</xdr:col>
      <xdr:colOff>274320</xdr:colOff>
      <xdr:row>11</xdr:row>
      <xdr:rowOff>68580</xdr:rowOff>
    </xdr:to>
    <xdr:graphicFrame macro="">
      <xdr:nvGraphicFramePr>
        <xdr:cNvPr id="52" name="Chart 51">
          <a:hlinkClick xmlns:r="http://schemas.openxmlformats.org/officeDocument/2006/relationships" r:id="rId13"/>
          <a:extLst>
            <a:ext uri="{FF2B5EF4-FFF2-40B4-BE49-F238E27FC236}">
              <a16:creationId xmlns:a16="http://schemas.microsoft.com/office/drawing/2014/main" id="{6E0CBFB1-E303-4092-A515-A8C981F70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152400</xdr:colOff>
          <xdr:row>10</xdr:row>
          <xdr:rowOff>167640</xdr:rowOff>
        </xdr:from>
        <xdr:to>
          <xdr:col>11</xdr:col>
          <xdr:colOff>236220</xdr:colOff>
          <xdr:row>15</xdr:row>
          <xdr:rowOff>53340</xdr:rowOff>
        </xdr:to>
        <xdr:pic>
          <xdr:nvPicPr>
            <xdr:cNvPr id="56" name="Picture 55">
              <a:extLst>
                <a:ext uri="{FF2B5EF4-FFF2-40B4-BE49-F238E27FC236}">
                  <a16:creationId xmlns:a16="http://schemas.microsoft.com/office/drawing/2014/main" id="{858BC358-DA4A-B3B1-0A75-E4EB1B0B78B5}"/>
                </a:ext>
              </a:extLst>
            </xdr:cNvPr>
            <xdr:cNvPicPr>
              <a:picLocks noChangeAspect="1" noChangeArrowheads="1"/>
              <a:extLst>
                <a:ext uri="{84589F7E-364E-4C9E-8A38-B11213B215E9}">
                  <a14:cameraTool cellRange="'Pivot Report'!$A$46:$D$48" spid="_x0000_s2072"/>
                </a:ext>
              </a:extLst>
            </xdr:cNvPicPr>
          </xdr:nvPicPr>
          <xdr:blipFill>
            <a:blip xmlns:r="http://schemas.openxmlformats.org/officeDocument/2006/relationships" r:embed="rId15"/>
            <a:srcRect/>
            <a:stretch>
              <a:fillRect/>
            </a:stretch>
          </xdr:blipFill>
          <xdr:spPr bwMode="auto">
            <a:xfrm>
              <a:off x="1371600" y="1996440"/>
              <a:ext cx="5570220" cy="8001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167640</xdr:colOff>
      <xdr:row>15</xdr:row>
      <xdr:rowOff>114300</xdr:rowOff>
    </xdr:from>
    <xdr:to>
      <xdr:col>11</xdr:col>
      <xdr:colOff>274320</xdr:colOff>
      <xdr:row>26</xdr:row>
      <xdr:rowOff>7620</xdr:rowOff>
    </xdr:to>
    <xdr:graphicFrame macro="">
      <xdr:nvGraphicFramePr>
        <xdr:cNvPr id="57" name="Chart 56">
          <a:extLst>
            <a:ext uri="{FF2B5EF4-FFF2-40B4-BE49-F238E27FC236}">
              <a16:creationId xmlns:a16="http://schemas.microsoft.com/office/drawing/2014/main" id="{EAF55654-438E-4554-8265-2B4171309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373380</xdr:colOff>
      <xdr:row>1</xdr:row>
      <xdr:rowOff>38100</xdr:rowOff>
    </xdr:from>
    <xdr:to>
      <xdr:col>14</xdr:col>
      <xdr:colOff>563880</xdr:colOff>
      <xdr:row>11</xdr:row>
      <xdr:rowOff>76200</xdr:rowOff>
    </xdr:to>
    <xdr:graphicFrame macro="">
      <xdr:nvGraphicFramePr>
        <xdr:cNvPr id="59" name="Chart 58">
          <a:extLst>
            <a:ext uri="{FF2B5EF4-FFF2-40B4-BE49-F238E27FC236}">
              <a16:creationId xmlns:a16="http://schemas.microsoft.com/office/drawing/2014/main" id="{953E7EDE-06F2-4F31-A709-95A0B6A67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190500</xdr:colOff>
      <xdr:row>0</xdr:row>
      <xdr:rowOff>76200</xdr:rowOff>
    </xdr:from>
    <xdr:to>
      <xdr:col>18</xdr:col>
      <xdr:colOff>586740</xdr:colOff>
      <xdr:row>11</xdr:row>
      <xdr:rowOff>22860</xdr:rowOff>
    </xdr:to>
    <xdr:graphicFrame macro="">
      <xdr:nvGraphicFramePr>
        <xdr:cNvPr id="60" name="Chart 59">
          <a:extLst>
            <a:ext uri="{FF2B5EF4-FFF2-40B4-BE49-F238E27FC236}">
              <a16:creationId xmlns:a16="http://schemas.microsoft.com/office/drawing/2014/main" id="{4923DC60-3BB5-4D23-8823-B3A7A0C22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449580</xdr:colOff>
      <xdr:row>10</xdr:row>
      <xdr:rowOff>22860</xdr:rowOff>
    </xdr:from>
    <xdr:to>
      <xdr:col>19</xdr:col>
      <xdr:colOff>22860</xdr:colOff>
      <xdr:row>11</xdr:row>
      <xdr:rowOff>76200</xdr:rowOff>
    </xdr:to>
    <xdr:sp macro="" textlink="">
      <xdr:nvSpPr>
        <xdr:cNvPr id="61" name="TextBox 1">
          <a:extLst>
            <a:ext uri="{FF2B5EF4-FFF2-40B4-BE49-F238E27FC236}">
              <a16:creationId xmlns:a16="http://schemas.microsoft.com/office/drawing/2014/main" id="{E0A9173C-7C3F-00A0-4D51-459C298F026F}"/>
            </a:ext>
          </a:extLst>
        </xdr:cNvPr>
        <xdr:cNvSpPr txBox="1"/>
      </xdr:nvSpPr>
      <xdr:spPr>
        <a:xfrm>
          <a:off x="9593580" y="1851660"/>
          <a:ext cx="2011680" cy="236220"/>
        </a:xfrm>
        <a:prstGeom prst="rect">
          <a:avLst/>
        </a:prstGeom>
      </xdr:spPr>
      <xdr:txBody>
        <a:bodyPr wrap="square" lIns="0" tIns="0" rIns="0" bIns="0"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GB" sz="1200" kern="1200" baseline="0"/>
            <a:t> Gender wise patient analysis</a:t>
          </a:r>
          <a:endParaRPr lang="en-GB" sz="1200" kern="1200"/>
        </a:p>
      </xdr:txBody>
    </xdr:sp>
    <xdr:clientData/>
  </xdr:twoCellAnchor>
  <xdr:twoCellAnchor>
    <xdr:from>
      <xdr:col>11</xdr:col>
      <xdr:colOff>381000</xdr:colOff>
      <xdr:row>12</xdr:row>
      <xdr:rowOff>30480</xdr:rowOff>
    </xdr:from>
    <xdr:to>
      <xdr:col>19</xdr:col>
      <xdr:colOff>6195</xdr:colOff>
      <xdr:row>26</xdr:row>
      <xdr:rowOff>61951</xdr:rowOff>
    </xdr:to>
    <xdr:graphicFrame macro="">
      <xdr:nvGraphicFramePr>
        <xdr:cNvPr id="62" name="Chart 61">
          <a:extLst>
            <a:ext uri="{FF2B5EF4-FFF2-40B4-BE49-F238E27FC236}">
              <a16:creationId xmlns:a16="http://schemas.microsoft.com/office/drawing/2014/main" id="{9F25963D-9F51-4F9D-BC77-6C90A1F20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0.31335</cdr:x>
      <cdr:y>0.912</cdr:y>
    </cdr:from>
    <cdr:to>
      <cdr:x>0.59809</cdr:x>
      <cdr:y>1</cdr:y>
    </cdr:to>
    <cdr:sp macro="" textlink="">
      <cdr:nvSpPr>
        <cdr:cNvPr id="2" name="TextBox 1">
          <a:extLst xmlns:a="http://schemas.openxmlformats.org/drawingml/2006/main">
            <a:ext uri="{FF2B5EF4-FFF2-40B4-BE49-F238E27FC236}">
              <a16:creationId xmlns:a16="http://schemas.microsoft.com/office/drawing/2014/main" id="{C58EED68-4508-5872-9CB0-4A063CC85479}"/>
            </a:ext>
          </a:extLst>
        </cdr:cNvPr>
        <cdr:cNvSpPr txBox="1"/>
      </cdr:nvSpPr>
      <cdr:spPr>
        <a:xfrm xmlns:a="http://schemas.openxmlformats.org/drawingml/2006/main">
          <a:off x="1752600" y="1737360"/>
          <a:ext cx="1592580" cy="167640"/>
        </a:xfrm>
        <a:prstGeom xmlns:a="http://schemas.openxmlformats.org/drawingml/2006/main" prst="rect">
          <a:avLst/>
        </a:prstGeom>
      </cdr:spPr>
      <cdr:txBody>
        <a:bodyPr xmlns:a="http://schemas.openxmlformats.org/drawingml/2006/main" vertOverflow="clip" wrap="square" lIns="0" tIns="0" rIns="0" bIns="0" rtlCol="0"/>
        <a:lstStyle xmlns:a="http://schemas.openxmlformats.org/drawingml/2006/main"/>
        <a:p xmlns:a="http://schemas.openxmlformats.org/drawingml/2006/main">
          <a:r>
            <a:rPr lang="en-GB" sz="1100" kern="1200"/>
            <a:t>No.of</a:t>
          </a:r>
          <a:r>
            <a:rPr lang="en-GB" sz="1100" kern="1200" baseline="0"/>
            <a:t> Patient by Age Group</a:t>
          </a:r>
          <a:endParaRPr lang="en-GB"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0.10943</cdr:x>
      <cdr:y>0.892</cdr:y>
    </cdr:from>
    <cdr:to>
      <cdr:x>0.95802</cdr:x>
      <cdr:y>0.98776</cdr:y>
    </cdr:to>
    <cdr:sp macro="" textlink="">
      <cdr:nvSpPr>
        <cdr:cNvPr id="2" name="TextBox 1">
          <a:extLst xmlns:a="http://schemas.openxmlformats.org/drawingml/2006/main">
            <a:ext uri="{FF2B5EF4-FFF2-40B4-BE49-F238E27FC236}">
              <a16:creationId xmlns:a16="http://schemas.microsoft.com/office/drawing/2014/main" id="{BB82C59B-31B7-DAB2-60D4-9699BEE4398A}"/>
            </a:ext>
          </a:extLst>
        </cdr:cNvPr>
        <cdr:cNvSpPr txBox="1"/>
      </cdr:nvSpPr>
      <cdr:spPr>
        <a:xfrm xmlns:a="http://schemas.openxmlformats.org/drawingml/2006/main">
          <a:off x="220980" y="1665275"/>
          <a:ext cx="1713559" cy="178765"/>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kern="1200" baseline="0"/>
            <a:t> Patient attended status</a:t>
          </a:r>
          <a:endParaRPr lang="en-GB" sz="1200" kern="1200"/>
        </a:p>
      </cdr:txBody>
    </cdr:sp>
  </cdr:relSizeAnchor>
</c:userShapes>
</file>

<file path=xl/drawings/drawing5.xml><?xml version="1.0" encoding="utf-8"?>
<c:userShapes xmlns:c="http://schemas.openxmlformats.org/drawingml/2006/chart">
  <cdr:relSizeAnchor xmlns:cdr="http://schemas.openxmlformats.org/drawingml/2006/chartDrawing">
    <cdr:from>
      <cdr:x>0.25736</cdr:x>
      <cdr:y>0.90618</cdr:y>
    </cdr:from>
    <cdr:to>
      <cdr:x>0.81755</cdr:x>
      <cdr:y>0.99701</cdr:y>
    </cdr:to>
    <cdr:sp macro="" textlink="">
      <cdr:nvSpPr>
        <cdr:cNvPr id="2" name="TextBox 1">
          <a:extLst xmlns:a="http://schemas.openxmlformats.org/drawingml/2006/main">
            <a:ext uri="{FF2B5EF4-FFF2-40B4-BE49-F238E27FC236}">
              <a16:creationId xmlns:a16="http://schemas.microsoft.com/office/drawing/2014/main" id="{E0A9173C-7C3F-00A0-4D51-459C298F026F}"/>
            </a:ext>
          </a:extLst>
        </cdr:cNvPr>
        <cdr:cNvSpPr txBox="1"/>
      </cdr:nvSpPr>
      <cdr:spPr>
        <a:xfrm xmlns:a="http://schemas.openxmlformats.org/drawingml/2006/main">
          <a:off x="1153531" y="2386361"/>
          <a:ext cx="2510883" cy="239193"/>
        </a:xfrm>
        <a:prstGeom xmlns:a="http://schemas.openxmlformats.org/drawingml/2006/main" prst="rect">
          <a:avLst/>
        </a:prstGeom>
      </cdr:spPr>
      <cdr:txBody>
        <a:bodyPr xmlns:a="http://schemas.openxmlformats.org/drawingml/2006/main" wrap="square"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200" kern="1200" baseline="0"/>
            <a:t> Department referal Distribution</a:t>
          </a:r>
          <a:endParaRPr lang="en-GB" sz="12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0</xdr:colOff>
      <xdr:row>21</xdr:row>
      <xdr:rowOff>152400</xdr:rowOff>
    </xdr:to>
    <xdr:graphicFrame macro="">
      <xdr:nvGraphicFramePr>
        <xdr:cNvPr id="2" name="Chart 1">
          <a:extLst>
            <a:ext uri="{FF2B5EF4-FFF2-40B4-BE49-F238E27FC236}">
              <a16:creationId xmlns:a16="http://schemas.microsoft.com/office/drawing/2014/main" id="{33C7BD07-B73E-4625-A200-DE624674A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0.08977</cdr:x>
      <cdr:y>0.15076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51350C7-D507-A5D5-BB09-2BDDCE414AE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01980" cy="60198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289560</xdr:colOff>
      <xdr:row>1</xdr:row>
      <xdr:rowOff>160020</xdr:rowOff>
    </xdr:from>
    <xdr:to>
      <xdr:col>16</xdr:col>
      <xdr:colOff>106680</xdr:colOff>
      <xdr:row>25</xdr:row>
      <xdr:rowOff>22860</xdr:rowOff>
    </xdr:to>
    <xdr:graphicFrame macro="">
      <xdr:nvGraphicFramePr>
        <xdr:cNvPr id="2" name="Chart 1">
          <a:extLst>
            <a:ext uri="{FF2B5EF4-FFF2-40B4-BE49-F238E27FC236}">
              <a16:creationId xmlns:a16="http://schemas.microsoft.com/office/drawing/2014/main" id="{0571CD07-7721-4B76-BCE0-325EE8538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0.00531</cdr:x>
      <cdr:y>0.01195</cdr:y>
    </cdr:from>
    <cdr:to>
      <cdr:x>0.06821</cdr:x>
      <cdr:y>0.15352</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AD4B50B-9335-5080-280B-074FA00AE99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01980" cy="601980"/>
        </a:xfrm>
        <a:prstGeom xmlns:a="http://schemas.openxmlformats.org/drawingml/2006/main" prst="rect">
          <a:avLst/>
        </a:prstGeom>
      </cdr:spPr>
    </cdr:pic>
  </cdr:relSizeAnchor>
</c:userShapes>
</file>

<file path=xl/drawings/drawing10.xml><?xml version="1.0" encoding="utf-8"?>
<xdr:wsDr xmlns:xdr="http://schemas.openxmlformats.org/drawingml/2006/spreadsheetDrawing" xmlns:a="http://schemas.openxmlformats.org/drawingml/2006/main">
  <xdr:twoCellAnchor>
    <xdr:from>
      <xdr:col>1</xdr:col>
      <xdr:colOff>129540</xdr:colOff>
      <xdr:row>2</xdr:row>
      <xdr:rowOff>45720</xdr:rowOff>
    </xdr:from>
    <xdr:to>
      <xdr:col>16</xdr:col>
      <xdr:colOff>167640</xdr:colOff>
      <xdr:row>25</xdr:row>
      <xdr:rowOff>114300</xdr:rowOff>
    </xdr:to>
    <xdr:graphicFrame macro="">
      <xdr:nvGraphicFramePr>
        <xdr:cNvPr id="3" name="Chart 2">
          <a:extLst>
            <a:ext uri="{FF2B5EF4-FFF2-40B4-BE49-F238E27FC236}">
              <a16:creationId xmlns:a16="http://schemas.microsoft.com/office/drawing/2014/main" id="{A46A0F9A-7267-45DB-8592-AAE429C6A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0.00553</cdr:x>
      <cdr:y>0.01188</cdr:y>
    </cdr:from>
    <cdr:to>
      <cdr:x>0.07109</cdr:x>
      <cdr:y>0.1527</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11CF300-500D-498C-7A7B-1D9B2141160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601980" cy="6019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86805558" createdVersion="5" refreshedVersion="8" minRefreshableVersion="3" recordCount="0" supportSubquery="1" supportAdvancedDrill="1" xr:uid="{6AD371AA-4B81-48FB-9272-A7424FCC0D65}">
  <cacheSource type="external" connectionId="3"/>
  <cacheFields count="2">
    <cacheField name="[Measures].[Average of Patient Waittime]" caption="Average of Patient Waittime" numFmtId="0" hierarchy="24" level="32767"/>
    <cacheField name="[Calendar_Table].[Date (Month)].[Date (Month)]" caption="Date (Month)" numFmtId="0" hierarchy="1"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88078705" createdVersion="5" refreshedVersion="8" minRefreshableVersion="3" recordCount="0" supportSubquery="1" supportAdvancedDrill="1" xr:uid="{4FECAD8E-DD65-41F2-B56A-9FD1853A10D1}">
  <cacheSource type="external" connectionId="3"/>
  <cacheFields count="2">
    <cacheField name="[Measures].[Average of Patient Satisfaction Score]" caption="Average of Patient Satisfaction Score" numFmtId="0" hierarchy="26" level="32767"/>
    <cacheField name="[Calendar_Table].[Date (Month)].[Date (Month)]" caption="Date (Month)" numFmtId="0" hierarchy="1"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89467591" createdVersion="5" refreshedVersion="8" minRefreshableVersion="3" recordCount="0" supportSubquery="1" supportAdvancedDrill="1" xr:uid="{CBDD22B7-4235-4229-9385-4DF9C0721813}">
  <cacheSource type="external" connectionId="3"/>
  <cacheFields count="3">
    <cacheField name="[Measures].[Distinct Count of Patient Id]" caption="Distinct Count of Patient Id" numFmtId="0" hierarchy="22"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90393522" createdVersion="5" refreshedVersion="8" minRefreshableVersion="3" recordCount="0" supportSubquery="1" supportAdvancedDrill="1" xr:uid="{E7E4FBAE-14E3-4BFA-B835-676835B42B41}">
  <cacheSource type="external" connectionId="3"/>
  <cacheFields count="2">
    <cacheField name="[Measures].[Distinct Count of Patient Id]" caption="Distinct Count of Patient Id" numFmtId="0" hierarchy="22" level="32767"/>
    <cacheField name="[Calendar_Table].[Date (Month)].[Date (Month)]" caption="Date (Month)" numFmtId="0" hierarchy="1"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91782407" createdVersion="5" refreshedVersion="8" minRefreshableVersion="3" recordCount="0" supportSubquery="1" supportAdvancedDrill="1" xr:uid="{2AE63232-ED69-4361-B6BE-1F197D75D96E}">
  <cacheSource type="external" connectionId="3"/>
  <cacheFields count="3">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4" level="32767"/>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93055555" createdVersion="5" refreshedVersion="8" minRefreshableVersion="3" recordCount="0" supportSubquery="1" supportAdvancedDrill="1" xr:uid="{A8468C3E-7E28-4B55-BFDF-3F57F616BC7D}">
  <cacheSource type="external" connectionId="3"/>
  <cacheFields count="3">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6" level="32767"/>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94444448" createdVersion="5" refreshedVersion="8" minRefreshableVersion="3" recordCount="0" supportSubquery="1" supportAdvancedDrill="1" xr:uid="{138892D9-6694-4900-9607-C5E5B1496DBE}">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1" level="1">
      <sharedItems count="2">
        <s v="Admitted"/>
        <s v="Not Admitted"/>
      </sharedItems>
    </cacheField>
    <cacheField name="[Measures].[Count of Patient Admission Flag]" caption="Count of Patient Admission Flag" numFmtId="0" hierarchy="27" level="32767"/>
    <cacheField name="Dummy0" numFmtId="0" hierarchy="32" level="32767">
      <extLst>
        <ext xmlns:x14="http://schemas.microsoft.com/office/spreadsheetml/2009/9/main" uri="{63CAB8AC-B538-458d-9737-405883B0398D}">
          <x14:cacheField ignore="1"/>
        </ext>
      </extLst>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95833333" createdVersion="5" refreshedVersion="8" minRefreshableVersion="3" recordCount="0" supportSubquery="1" supportAdvancedDrill="1" xr:uid="{090D0255-3549-497D-80C8-4DA19D01D18A}">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4" level="1">
      <sharedItems count="8">
        <s v="0-9"/>
        <s v="10-19"/>
        <s v="20-29"/>
        <s v="30-39"/>
        <s v="40-49"/>
        <s v="50-59"/>
        <s v="60-69"/>
        <s v="70-79"/>
      </sharedItems>
    </cacheField>
    <cacheField name="[Measures].[Count of Age Group]" caption="Count of Age Group" numFmtId="0" hierarchy="29" level="32767"/>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9710648" createdVersion="5" refreshedVersion="8" minRefreshableVersion="3" recordCount="0" supportSubquery="1" supportAdvancedDrill="1" xr:uid="{544135CB-C5F3-402C-8DBA-8CAC88588D74}">
  <cacheSource type="external" connectionId="3"/>
  <cacheFields count="3">
    <cacheField name="[Calendar_Table].[Date (Month)].[Date (Month)]" caption="Date (Month)" numFmtId="0" hierarchy="1" level="1">
      <sharedItems containsSemiMixedTypes="0" containsNonDate="0" containsString="0"/>
    </cacheField>
    <cacheField name="[Measures].[Count of Patient Id]" caption="Count of Patient Id" numFmtId="0" hierarchy="21" level="32767"/>
    <cacheField name="[Hospital Emergency Room Data].[Patient Attend Status].[Patient Attend Status]" caption="Patient Attend Status" numFmtId="0" hierarchy="15" level="1">
      <sharedItems count="2">
        <s v="Delay"/>
        <s v="Ontime"/>
      </sharedItems>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97916665" createdVersion="5" refreshedVersion="8" minRefreshableVersion="3" recordCount="0" supportSubquery="1" supportAdvancedDrill="1" xr:uid="{CEA4BDC3-0675-4012-851E-A27B634A1785}">
  <cacheSource type="external" connectionId="3"/>
  <cacheFields count="3">
    <cacheField name="[Calendar_Table].[Date (Month)].[Date (Month)]" caption="Date (Month)" numFmtId="0" hierarchy="1" level="1">
      <sharedItems containsSemiMixedTypes="0" containsNonDate="0" containsString="0"/>
    </cacheField>
    <cacheField name="[Measures].[Count of Patient Gender]" caption="Count of Patient Gender" numFmtId="0" hierarchy="30" level="32767"/>
    <cacheField name="[Hospital Emergency Room Data].[Patient Gender].[Patient Gender]" caption="Patient Gender" numFmtId="0" hierarchy="7" level="1">
      <sharedItems count="2">
        <s v="F"/>
        <s v="Male"/>
      </sharedItems>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3.567199189813" createdVersion="5" refreshedVersion="8" minRefreshableVersion="3" recordCount="0" supportSubquery="1" supportAdvancedDrill="1" xr:uid="{39933A96-FFC5-47F2-9576-DC0675A3DD2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7" level="1">
      <sharedItems count="2">
        <s v="F"/>
        <s v="Male"/>
      </sharedItems>
    </cacheField>
    <cacheField name="[Hospital Emergency Room Data].[Department Referral].[Department Referral]" caption="Department Referral" numFmtId="0" hierarchy="10"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61.553333564814" createdVersion="3" refreshedVersion="8" minRefreshableVersion="3" recordCount="0" supportSubquery="1" supportAdvancedDrill="1" xr:uid="{FD6118E3-ED53-47ED-B68B-A839628B8DA0}">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38237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14D48D-CC33-47EC-9F52-30217655C1C5}" name="PivotTable6" cacheId="359" applyNumberFormats="0" applyBorderFormats="0" applyFontFormats="0" applyPatternFormats="0" applyAlignmentFormats="0" applyWidthHeightFormats="1" dataCaption="Values" tag="5d47f3b9-28ee-49f0-bd07-525e7dd1c769" updatedVersion="8" minRefreshableVersion="3" useAutoFormatting="1" itemPrintTitles="1" createdVersion="5" indent="0" multipleFieldFilters="0" chartFormat="38">
  <location ref="I4:J33" firstHeaderRow="1" firstDataRow="1" firstDataCol="1"/>
  <pivotFields count="3">
    <pivotField axis="axisRow" allDrilled="1" showAll="0" dataSourceSort="1"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llDrilled="1" showAll="0" dataSourceSort="1" defaultAttributeDrillState="1"/>
    <pivotField dataField="1"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formats count="1">
    <format dxfId="341">
      <pivotArea outline="0" collapsedLevelsAreSubtotals="1" fieldPosition="0"/>
    </format>
  </formats>
  <chartFormats count="2">
    <chartFormat chart="33" format="4"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335941-DAF1-4A8B-9AF2-B51559009B2B}" name="PivotTable12" cacheId="374" applyNumberFormats="0" applyBorderFormats="0" applyFontFormats="0" applyPatternFormats="0" applyAlignmentFormats="0" applyWidthHeightFormats="1" dataCaption="Values" tag="333bd5eb-7557-47a0-8a98-4420ea2450e6" updatedVersion="8" minRefreshableVersion="3" useAutoFormatting="1" itemPrintTitles="1" createdVersion="5" indent="0" multipleFieldFilters="0" chartFormat="28">
  <location ref="A75:B84" firstHeaderRow="1" firstDataRow="1" firstDataCol="1"/>
  <pivotFields count="4">
    <pivotField allDrilled="1" showAll="0" dataSourceSort="1" defaultAttributeDrillState="1"/>
    <pivotField allDrilled="1" showAll="0" dataSourceSort="1" defaultAttributeDrillState="1">
      <items count="3">
        <item n="Female" x="0"/>
        <item x="1"/>
        <item t="default"/>
      </items>
    </pivotField>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9">
    <i>
      <x v="4"/>
    </i>
    <i>
      <x v="2"/>
    </i>
    <i>
      <x v="5"/>
    </i>
    <i>
      <x v="6"/>
    </i>
    <i>
      <x/>
    </i>
    <i>
      <x v="1"/>
    </i>
    <i>
      <x v="7"/>
    </i>
    <i>
      <x v="3"/>
    </i>
    <i t="grand">
      <x/>
    </i>
  </rowItems>
  <colItems count="1">
    <i/>
  </colItems>
  <dataFields count="1">
    <dataField name="Count of Department Referral" fld="3" subtotal="count" baseField="0" baseItem="0"/>
  </dataFields>
  <formats count="1">
    <format dxfId="342">
      <pivotArea outline="0" collapsedLevelsAreSubtotals="1" fieldPosition="0"/>
    </format>
  </formats>
  <chartFormats count="3">
    <chartFormat chart="20"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caption="Percentage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25080-D555-476B-9C00-8FD66AA2D1E4}" name="PivotTable11" cacheId="371" applyNumberFormats="0" applyBorderFormats="0" applyFontFormats="0" applyPatternFormats="0" applyAlignmentFormats="0" applyWidthHeightFormats="1" dataCaption="Values" tag="76be0a1d-c0fc-4874-918f-55bffdc937f8" updatedVersion="8" minRefreshableVersion="3" useAutoFormatting="1" itemPrintTitles="1" createdVersion="5" indent="0" multipleFieldFilters="0" chartFormat="20">
  <location ref="A69:B72" firstHeaderRow="1" firstDataRow="1" firstDataCol="1"/>
  <pivotFields count="3">
    <pivotField allDrilled="1" showAll="0" dataSourceSort="1" defaultAttributeDrillState="1"/>
    <pivotField dataField="1" showAll="0"/>
    <pivotField axis="axisRow" allDrilled="1" showAll="0" dataSourceSort="1" defaultAttributeDrillState="1">
      <items count="3">
        <item n="Female" x="0"/>
        <item x="1"/>
        <item t="default"/>
      </items>
    </pivotField>
  </pivotFields>
  <rowFields count="1">
    <field x="2"/>
  </rowFields>
  <rowItems count="3">
    <i>
      <x/>
    </i>
    <i>
      <x v="1"/>
    </i>
    <i t="grand">
      <x/>
    </i>
  </rowItems>
  <colItems count="1">
    <i/>
  </colItems>
  <dataFields count="1">
    <dataField name="Count of Patient Gender" fld="1" subtotal="count" baseField="0" baseItem="0"/>
  </dataFields>
  <formats count="1">
    <format dxfId="343">
      <pivotArea outline="0" collapsedLevelsAreSubtotals="1" fieldPosition="0"/>
    </format>
  </formats>
  <chartFormats count="4">
    <chartFormat chart="1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caption="Percentage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AEA4F8-8ED2-4977-A82F-435E31BDAF4D}" name="PivotTable5" cacheId="356" applyNumberFormats="0" applyBorderFormats="0" applyFontFormats="0" applyPatternFormats="0" applyAlignmentFormats="0" applyWidthHeightFormats="1" dataCaption="Values" tag="3b03084d-ee4f-480f-8e40-a453dae9e7e4" updatedVersion="8" minRefreshableVersion="3" useAutoFormatting="1" itemPrintTitles="1" createdVersion="5" indent="0" multipleFieldFilters="0" chartFormat="28">
  <location ref="F4:G34" firstHeaderRow="1" firstDataRow="1" firstDataCol="1"/>
  <pivotFields count="3">
    <pivotField axis="axisRow" allDrilled="1" showAll="0" dataSourceSort="1"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llDrilled="1" showAll="0" dataSourceSort="1" defaultAttributeDrillState="1"/>
    <pivotField dataField="1"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1">
    <format dxfId="344">
      <pivotArea outline="0" collapsedLevelsAreSubtotals="1" fieldPosition="0"/>
    </format>
  </formats>
  <chartFormats count="2">
    <chartFormat chart="20" format="5"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621AC7-5376-40D2-865F-979DEF44928A}" name="PivotTable9" cacheId="368" applyNumberFormats="0" applyBorderFormats="0" applyFontFormats="0" applyPatternFormats="0" applyAlignmentFormats="0" applyWidthHeightFormats="1" dataCaption="Values" tag="56a0c12e-12e0-4e06-9dfd-5743337a6764" updatedVersion="8" minRefreshableVersion="3" useAutoFormatting="1" itemPrintTitles="1" createdVersion="5" indent="0" multipleFieldFilters="0" chartFormat="15">
  <location ref="A63:B66" firstHeaderRow="1" firstDataRow="1" firstDataCol="1"/>
  <pivotFields count="3">
    <pivotField allDrilled="1" showAll="0" dataSourceSort="1" defaultAttributeDrillState="1"/>
    <pivotField dataField="1" showAll="0"/>
    <pivotField axis="axisRow" allDrilled="1" showAll="0" dataSourceSort="1" defaultAttributeDrillState="1">
      <items count="3">
        <item x="0"/>
        <item x="1"/>
        <item t="default"/>
      </items>
    </pivotField>
  </pivotFields>
  <rowFields count="1">
    <field x="2"/>
  </rowFields>
  <rowItems count="3">
    <i>
      <x/>
    </i>
    <i>
      <x v="1"/>
    </i>
    <i t="grand">
      <x/>
    </i>
  </rowItems>
  <colItems count="1">
    <i/>
  </colItems>
  <dataFields count="1">
    <dataField name="Count of Patient Id" fld="1" subtotal="count" baseField="0" baseItem="0"/>
  </dataFields>
  <formats count="1">
    <format dxfId="345">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caption="Percentage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5DA400-53A0-4F9D-8F7E-26D1D522DFDA}" name="PivotTable4" cacheId="350" applyNumberFormats="0" applyBorderFormats="0" applyFontFormats="0" applyPatternFormats="0" applyAlignmentFormats="0" applyWidthHeightFormats="1" dataCaption="Values" tag="d55b6cc9-bf23-406f-a142-f07c80ec7265" updatedVersion="8" minRefreshableVersion="3" useAutoFormatting="1" itemPrintTitles="1" createdVersion="5" indent="0" multipleFieldFilters="0" chartFormat="13">
  <location ref="C4:D34" firstHeaderRow="1" firstDataRow="1" firstDataCol="1"/>
  <pivotFields count="3">
    <pivotField dataField="1" showAll="0"/>
    <pivotField axis="axisRow" allDrilled="1" showAll="0" dataSourceSort="1"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llDrilled="1" showAll="0" dataSourceSort="1"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6CFCC1-DF14-4F98-8863-D5BB1D8C39B1}" name="PivotTable3" cacheId="347" applyNumberFormats="0" applyBorderFormats="0" applyFontFormats="0" applyPatternFormats="0" applyAlignmentFormats="0" applyWidthHeightFormats="1" dataCaption="Values" tag="bcb7477c-d03e-48ef-a02e-3659df2d8b5b" updatedVersion="8" minRefreshableVersion="3" useAutoFormatting="1" itemPrintTitles="1" createdVersion="5" indent="0" multipleFieldFilters="0">
  <location ref="A12:A13"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Patient Satisfaction Score" fld="0" subtotal="average" baseField="0" baseItem="0" numFmtId="2"/>
  </dataFields>
  <formats count="1">
    <format dxfId="346">
      <pivotArea outline="0" collapsedLevelsAreSubtotals="1" fieldPosition="0"/>
    </format>
  </format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0304D1-229A-4CC2-953E-A6D6B5197171}" name="PivotTable8" cacheId="365" applyNumberFormats="0" applyBorderFormats="0" applyFontFormats="0" applyPatternFormats="0" applyAlignmentFormats="0" applyWidthHeightFormats="1" dataCaption="Values" tag="37b2cd62-fbfb-469e-9cc1-4be404451e61" updatedVersion="8" minRefreshableVersion="3" useAutoFormatting="1" itemPrintTitles="1" createdVersion="5" indent="0" multipleFieldFilters="0" chartFormat="7">
  <location ref="A51:B60" firstHeaderRow="1" firstDataRow="1" firstDataCol="1"/>
  <pivotFields count="3">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34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caption="Percentage Count of Patient Admission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F82FCF-5802-4871-BD7F-3FFAD5EEEE7C}" name="PivotTable2" cacheId="344" applyNumberFormats="0" applyBorderFormats="0" applyFontFormats="0" applyPatternFormats="0" applyAlignmentFormats="0" applyWidthHeightFormats="1" dataCaption="Values" tag="220b14c0-6fbf-4b8c-a25c-286157a973d3" updatedVersion="8" minRefreshableVersion="3" useAutoFormatting="1" itemPrintTitles="1" createdVersion="5" indent="0" multipleFieldFilters="0">
  <location ref="A8:A9"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Patient Waittime" fld="0" subtotal="average" baseField="0" baseItem="0" numFmtId="2"/>
  </dataFields>
  <formats count="22">
    <format dxfId="369">
      <pivotArea outline="0" collapsedLevelsAreSubtotals="1" fieldPosition="0"/>
    </format>
    <format dxfId="368">
      <pivotArea outline="0" collapsedLevelsAreSubtotals="1" fieldPosition="0"/>
    </format>
    <format dxfId="367">
      <pivotArea outline="0" collapsedLevelsAreSubtotals="1" fieldPosition="0"/>
    </format>
    <format dxfId="366">
      <pivotArea outline="0" collapsedLevelsAreSubtotals="1" fieldPosition="0"/>
    </format>
    <format dxfId="365">
      <pivotArea outline="0" collapsedLevelsAreSubtotals="1" fieldPosition="0"/>
    </format>
    <format dxfId="364">
      <pivotArea outline="0" collapsedLevelsAreSubtotals="1" fieldPosition="0"/>
    </format>
    <format dxfId="363">
      <pivotArea outline="0" collapsedLevelsAreSubtotals="1" fieldPosition="0"/>
    </format>
    <format dxfId="362">
      <pivotArea outline="0" collapsedLevelsAreSubtotals="1" fieldPosition="0"/>
    </format>
    <format dxfId="361">
      <pivotArea outline="0" collapsedLevelsAreSubtotals="1" fieldPosition="0"/>
    </format>
    <format dxfId="360">
      <pivotArea outline="0" collapsedLevelsAreSubtotals="1" fieldPosition="0"/>
    </format>
    <format dxfId="359">
      <pivotArea outline="0" collapsedLevelsAreSubtotals="1" fieldPosition="0"/>
    </format>
    <format dxfId="358">
      <pivotArea outline="0" collapsedLevelsAreSubtotals="1" fieldPosition="0"/>
    </format>
    <format dxfId="357">
      <pivotArea outline="0" collapsedLevelsAreSubtotals="1" fieldPosition="0"/>
    </format>
    <format dxfId="356">
      <pivotArea outline="0" collapsedLevelsAreSubtotals="1" fieldPosition="0"/>
    </format>
    <format dxfId="355">
      <pivotArea outline="0" collapsedLevelsAreSubtotals="1" fieldPosition="0"/>
    </format>
    <format dxfId="354">
      <pivotArea outline="0" collapsedLevelsAreSubtotals="1" fieldPosition="0"/>
    </format>
    <format dxfId="353">
      <pivotArea outline="0" collapsedLevelsAreSubtotals="1" fieldPosition="0"/>
    </format>
    <format dxfId="352">
      <pivotArea outline="0" collapsedLevelsAreSubtotals="1" fieldPosition="0"/>
    </format>
    <format dxfId="351">
      <pivotArea outline="0" collapsedLevelsAreSubtotals="1" fieldPosition="0"/>
    </format>
    <format dxfId="350">
      <pivotArea outline="0" collapsedLevelsAreSubtotals="1" fieldPosition="0"/>
    </format>
    <format dxfId="349">
      <pivotArea outline="0" collapsedLevelsAreSubtotals="1" fieldPosition="0"/>
    </format>
    <format dxfId="348">
      <pivotArea outline="0" collapsedLevelsAreSubtotals="1" fieldPosition="0"/>
    </format>
  </format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F6CD0A-63D4-47AE-8156-50DEECB59347}" name="PivotTable7" cacheId="362" applyNumberFormats="0" applyBorderFormats="0" applyFontFormats="0" applyPatternFormats="0" applyAlignmentFormats="0" applyWidthHeightFormats="1" dataCaption="Values" tag="9796417b-64ee-4c29-a222-5c2ed61893f3" updatedVersion="8" minRefreshableVersion="3" useAutoFormatting="1" itemPrintTitles="1" createdVersion="5" indent="0" multipleFieldFilters="0" chartFormat="2">
  <location ref="A38:C41" firstHeaderRow="0"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Percentage Count of Patient Admission Flag"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371">
      <pivotArea outline="0" collapsedLevelsAreSubtotals="1" fieldPosition="0"/>
    </format>
    <format dxfId="37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3">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caption="Percentage Count of Patient Admission Flag"/>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480CBC-A68A-4D8F-8452-B1797FD084C8}" name="PivotTable1" cacheId="353" applyNumberFormats="0" applyBorderFormats="0" applyFontFormats="0" applyPatternFormats="0" applyAlignmentFormats="0" applyWidthHeightFormats="1" dataCaption="Values" tag="8fed8328-9b43-492f-bf07-3b9357d4037c" updatedVersion="8" minRefreshableVersion="3" useAutoFormatting="1" itemPrintTitles="1" createdVersion="5" indent="0" multipleFieldFilters="0">
  <location ref="A4:A5" firstHeaderRow="1" firstDataRow="1" firstDataCol="0"/>
  <pivotFields count="2">
    <pivotField dataField="1" showAll="0"/>
    <pivotField allDrilled="1" showAll="0" dataSourceSort="1"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a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BEE6E2E-6CF2-489C-8FF9-FD637C604D3B}" sourceName="[Calendar_Table].[Date (Month)]">
  <pivotTables>
    <pivotTable tabId="1" name="PivotTable2"/>
    <pivotTable tabId="1" name="PivotTable3"/>
    <pivotTable tabId="1" name="PivotTable4"/>
    <pivotTable tabId="1" name="PivotTable1"/>
    <pivotTable tabId="1" name="PivotTable5"/>
    <pivotTable tabId="1" name="PivotTable6"/>
    <pivotTable tabId="1" name="PivotTable7"/>
    <pivotTable tabId="1" name="PivotTable8"/>
    <pivotTable tabId="1" name="PivotTable9"/>
    <pivotTable tabId="1" name="PivotTable11"/>
    <pivotTable tabId="1" name="PivotTable12"/>
  </pivotTables>
  <data>
    <olap pivotCacheId="15382378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53D4276-7DF4-4BD8-830C-D12CD5189811}" cache="Slicer_Date__Month" caption="Date (Month)" showCaption="0" level="1" style="MY STYLE"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A3178-1C44-4051-B50E-787B9C457311}">
  <dimension ref="A3:J84"/>
  <sheetViews>
    <sheetView topLeftCell="A34" workbookViewId="0">
      <selection activeCell="D52" sqref="D52"/>
    </sheetView>
  </sheetViews>
  <sheetFormatPr defaultRowHeight="14.4" x14ac:dyDescent="0.3"/>
  <cols>
    <col min="1" max="1" width="15.33203125" bestFit="1" customWidth="1"/>
    <col min="2" max="2" width="26.33203125" bestFit="1" customWidth="1"/>
    <col min="3" max="3" width="38.33203125" bestFit="1" customWidth="1"/>
    <col min="4" max="4" width="23.88671875" customWidth="1"/>
    <col min="6" max="6" width="12.5546875" bestFit="1" customWidth="1"/>
    <col min="7" max="7" width="25" bestFit="1" customWidth="1"/>
    <col min="9" max="9" width="12.5546875" bestFit="1" customWidth="1"/>
    <col min="10" max="10" width="32.44140625" bestFit="1" customWidth="1"/>
  </cols>
  <sheetData>
    <row r="3" spans="1:10" x14ac:dyDescent="0.3">
      <c r="A3" t="s">
        <v>1</v>
      </c>
      <c r="C3" s="12" t="s">
        <v>37</v>
      </c>
      <c r="D3" s="12"/>
      <c r="F3" s="12" t="s">
        <v>38</v>
      </c>
      <c r="G3" s="12"/>
      <c r="I3" s="12" t="s">
        <v>41</v>
      </c>
      <c r="J3" s="12"/>
    </row>
    <row r="4" spans="1:10" x14ac:dyDescent="0.3">
      <c r="A4" t="s">
        <v>2</v>
      </c>
      <c r="C4" s="1" t="s">
        <v>5</v>
      </c>
      <c r="D4" t="s">
        <v>2</v>
      </c>
      <c r="F4" s="1" t="s">
        <v>5</v>
      </c>
      <c r="G4" t="s">
        <v>3</v>
      </c>
      <c r="I4" s="1" t="s">
        <v>5</v>
      </c>
      <c r="J4" t="s">
        <v>4</v>
      </c>
    </row>
    <row r="5" spans="1:10" x14ac:dyDescent="0.3">
      <c r="A5" s="14">
        <v>431</v>
      </c>
      <c r="C5" s="5" t="s">
        <v>7</v>
      </c>
      <c r="D5" s="14">
        <v>13</v>
      </c>
      <c r="F5" s="5" t="s">
        <v>7</v>
      </c>
      <c r="G5" s="3">
        <v>35.692307692307693</v>
      </c>
      <c r="I5" s="5" t="s">
        <v>7</v>
      </c>
      <c r="J5" s="3">
        <v>4.166666666666667</v>
      </c>
    </row>
    <row r="6" spans="1:10" x14ac:dyDescent="0.3">
      <c r="C6" s="5" t="s">
        <v>8</v>
      </c>
      <c r="D6" s="14">
        <v>10</v>
      </c>
      <c r="F6" s="5" t="s">
        <v>8</v>
      </c>
      <c r="G6" s="3">
        <v>45.4</v>
      </c>
      <c r="I6" s="5" t="s">
        <v>8</v>
      </c>
      <c r="J6" s="3">
        <v>5.75</v>
      </c>
    </row>
    <row r="7" spans="1:10" x14ac:dyDescent="0.3">
      <c r="C7" s="5" t="s">
        <v>9</v>
      </c>
      <c r="D7" s="14">
        <v>8</v>
      </c>
      <c r="F7" s="5" t="s">
        <v>9</v>
      </c>
      <c r="G7" s="3">
        <v>29.375</v>
      </c>
      <c r="I7" s="5" t="s">
        <v>9</v>
      </c>
      <c r="J7" s="3">
        <v>4.75</v>
      </c>
    </row>
    <row r="8" spans="1:10" x14ac:dyDescent="0.3">
      <c r="A8" t="s">
        <v>3</v>
      </c>
      <c r="C8" s="5" t="s">
        <v>10</v>
      </c>
      <c r="D8" s="14">
        <v>12</v>
      </c>
      <c r="F8" s="5" t="s">
        <v>10</v>
      </c>
      <c r="G8" s="3">
        <v>34.583333333333336</v>
      </c>
      <c r="I8" s="5" t="s">
        <v>10</v>
      </c>
      <c r="J8" s="3">
        <v>7</v>
      </c>
    </row>
    <row r="9" spans="1:10" x14ac:dyDescent="0.3">
      <c r="A9" s="2">
        <v>36.670533642691417</v>
      </c>
      <c r="C9" s="5" t="s">
        <v>11</v>
      </c>
      <c r="D9" s="14">
        <v>19</v>
      </c>
      <c r="F9" s="5" t="s">
        <v>11</v>
      </c>
      <c r="G9" s="3">
        <v>38.684210526315788</v>
      </c>
      <c r="I9" s="5" t="s">
        <v>11</v>
      </c>
      <c r="J9" s="3">
        <v>3.1428571428571428</v>
      </c>
    </row>
    <row r="10" spans="1:10" x14ac:dyDescent="0.3">
      <c r="C10" s="5" t="s">
        <v>12</v>
      </c>
      <c r="D10" s="14">
        <v>9</v>
      </c>
      <c r="F10" s="5" t="s">
        <v>12</v>
      </c>
      <c r="G10" s="3">
        <v>34.777777777777779</v>
      </c>
      <c r="I10" s="5" t="s">
        <v>12</v>
      </c>
      <c r="J10" s="3">
        <v>8</v>
      </c>
    </row>
    <row r="11" spans="1:10" x14ac:dyDescent="0.3">
      <c r="C11" s="5" t="s">
        <v>13</v>
      </c>
      <c r="D11" s="14">
        <v>13</v>
      </c>
      <c r="F11" s="5" t="s">
        <v>13</v>
      </c>
      <c r="G11" s="3">
        <v>37.307692307692307</v>
      </c>
      <c r="I11" s="5" t="s">
        <v>13</v>
      </c>
      <c r="J11" s="3">
        <v>5.25</v>
      </c>
    </row>
    <row r="12" spans="1:10" x14ac:dyDescent="0.3">
      <c r="A12" t="s">
        <v>4</v>
      </c>
      <c r="C12" s="5" t="s">
        <v>14</v>
      </c>
      <c r="D12" s="14">
        <v>19</v>
      </c>
      <c r="F12" s="5" t="s">
        <v>14</v>
      </c>
      <c r="G12" s="3">
        <v>35.631578947368418</v>
      </c>
      <c r="I12" s="5" t="s">
        <v>14</v>
      </c>
      <c r="J12" s="3">
        <v>4.5714285714285712</v>
      </c>
    </row>
    <row r="13" spans="1:10" x14ac:dyDescent="0.3">
      <c r="A13" s="3">
        <v>4.7154471544715451</v>
      </c>
      <c r="C13" s="5" t="s">
        <v>15</v>
      </c>
      <c r="D13" s="14">
        <v>10</v>
      </c>
      <c r="F13" s="5" t="s">
        <v>15</v>
      </c>
      <c r="G13" s="3">
        <v>36.6</v>
      </c>
      <c r="I13" s="5" t="s">
        <v>15</v>
      </c>
      <c r="J13" s="3">
        <v>2.75</v>
      </c>
    </row>
    <row r="14" spans="1:10" x14ac:dyDescent="0.3">
      <c r="C14" s="5" t="s">
        <v>16</v>
      </c>
      <c r="D14" s="14">
        <v>20</v>
      </c>
      <c r="F14" s="5" t="s">
        <v>16</v>
      </c>
      <c r="G14" s="3">
        <v>39.700000000000003</v>
      </c>
      <c r="I14" s="5" t="s">
        <v>16</v>
      </c>
      <c r="J14" s="3">
        <v>4.5</v>
      </c>
    </row>
    <row r="15" spans="1:10" x14ac:dyDescent="0.3">
      <c r="C15" s="5" t="s">
        <v>17</v>
      </c>
      <c r="D15" s="14">
        <v>15</v>
      </c>
      <c r="F15" s="5" t="s">
        <v>17</v>
      </c>
      <c r="G15" s="3">
        <v>37.4</v>
      </c>
      <c r="I15" s="5" t="s">
        <v>17</v>
      </c>
      <c r="J15" s="3">
        <v>5.5</v>
      </c>
    </row>
    <row r="16" spans="1:10" x14ac:dyDescent="0.3">
      <c r="C16" s="5" t="s">
        <v>18</v>
      </c>
      <c r="D16" s="14">
        <v>13</v>
      </c>
      <c r="F16" s="5" t="s">
        <v>18</v>
      </c>
      <c r="G16" s="3">
        <v>27.76923076923077</v>
      </c>
      <c r="I16" s="5" t="s">
        <v>18</v>
      </c>
      <c r="J16" s="3">
        <v>5.6</v>
      </c>
    </row>
    <row r="17" spans="3:10" x14ac:dyDescent="0.3">
      <c r="C17" s="5" t="s">
        <v>19</v>
      </c>
      <c r="D17" s="14">
        <v>9</v>
      </c>
      <c r="F17" s="5" t="s">
        <v>19</v>
      </c>
      <c r="G17" s="3">
        <v>38.777777777777779</v>
      </c>
      <c r="I17" s="5" t="s">
        <v>19</v>
      </c>
      <c r="J17" s="3">
        <v>5.75</v>
      </c>
    </row>
    <row r="18" spans="3:10" x14ac:dyDescent="0.3">
      <c r="C18" s="5" t="s">
        <v>20</v>
      </c>
      <c r="D18" s="14">
        <v>19</v>
      </c>
      <c r="F18" s="5" t="s">
        <v>20</v>
      </c>
      <c r="G18" s="3">
        <v>31</v>
      </c>
      <c r="I18" s="5" t="s">
        <v>20</v>
      </c>
      <c r="J18" s="3">
        <v>3.4444444444444446</v>
      </c>
    </row>
    <row r="19" spans="3:10" x14ac:dyDescent="0.3">
      <c r="C19" s="5" t="s">
        <v>21</v>
      </c>
      <c r="D19" s="14">
        <v>14</v>
      </c>
      <c r="F19" s="5" t="s">
        <v>21</v>
      </c>
      <c r="G19" s="3">
        <v>35.928571428571431</v>
      </c>
      <c r="I19" s="5" t="s">
        <v>21</v>
      </c>
      <c r="J19" s="3">
        <v>1.5</v>
      </c>
    </row>
    <row r="20" spans="3:10" x14ac:dyDescent="0.3">
      <c r="C20" s="5" t="s">
        <v>22</v>
      </c>
      <c r="D20" s="14">
        <v>17</v>
      </c>
      <c r="F20" s="5" t="s">
        <v>22</v>
      </c>
      <c r="G20" s="3">
        <v>37.882352941176471</v>
      </c>
      <c r="I20" s="5" t="s">
        <v>22</v>
      </c>
      <c r="J20" s="3">
        <v>3.6666666666666665</v>
      </c>
    </row>
    <row r="21" spans="3:10" x14ac:dyDescent="0.3">
      <c r="C21" s="5" t="s">
        <v>23</v>
      </c>
      <c r="D21" s="14">
        <v>17</v>
      </c>
      <c r="F21" s="5" t="s">
        <v>23</v>
      </c>
      <c r="G21" s="3">
        <v>40.588235294117645</v>
      </c>
      <c r="I21" s="5" t="s">
        <v>23</v>
      </c>
      <c r="J21" s="3">
        <v>4.4285714285714288</v>
      </c>
    </row>
    <row r="22" spans="3:10" x14ac:dyDescent="0.3">
      <c r="C22" s="5" t="s">
        <v>24</v>
      </c>
      <c r="D22" s="14">
        <v>15</v>
      </c>
      <c r="F22" s="5" t="s">
        <v>24</v>
      </c>
      <c r="G22" s="3">
        <v>34.533333333333331</v>
      </c>
      <c r="I22" s="5" t="s">
        <v>24</v>
      </c>
      <c r="J22" s="3">
        <v>6</v>
      </c>
    </row>
    <row r="23" spans="3:10" x14ac:dyDescent="0.3">
      <c r="C23" s="5" t="s">
        <v>25</v>
      </c>
      <c r="D23" s="14">
        <v>9</v>
      </c>
      <c r="F23" s="5" t="s">
        <v>25</v>
      </c>
      <c r="G23" s="3">
        <v>40.333333333333336</v>
      </c>
      <c r="I23" s="5" t="s">
        <v>25</v>
      </c>
      <c r="J23" s="3">
        <v>2.6666666666666665</v>
      </c>
    </row>
    <row r="24" spans="3:10" x14ac:dyDescent="0.3">
      <c r="C24" s="5" t="s">
        <v>26</v>
      </c>
      <c r="D24" s="14">
        <v>14</v>
      </c>
      <c r="F24" s="5" t="s">
        <v>26</v>
      </c>
      <c r="G24" s="3">
        <v>35.285714285714285</v>
      </c>
      <c r="I24" s="5" t="s">
        <v>26</v>
      </c>
      <c r="J24" s="3">
        <v>7.5</v>
      </c>
    </row>
    <row r="25" spans="3:10" x14ac:dyDescent="0.3">
      <c r="C25" s="5" t="s">
        <v>27</v>
      </c>
      <c r="D25" s="14">
        <v>22</v>
      </c>
      <c r="F25" s="5" t="s">
        <v>27</v>
      </c>
      <c r="G25" s="3">
        <v>35.5</v>
      </c>
      <c r="I25" s="5" t="s">
        <v>27</v>
      </c>
      <c r="J25" s="3">
        <v>4.5</v>
      </c>
    </row>
    <row r="26" spans="3:10" x14ac:dyDescent="0.3">
      <c r="C26" s="5" t="s">
        <v>28</v>
      </c>
      <c r="D26" s="14">
        <v>16</v>
      </c>
      <c r="F26" s="5" t="s">
        <v>28</v>
      </c>
      <c r="G26" s="3">
        <v>38.5625</v>
      </c>
      <c r="I26" s="5" t="s">
        <v>28</v>
      </c>
      <c r="J26" s="3">
        <v>8</v>
      </c>
    </row>
    <row r="27" spans="3:10" x14ac:dyDescent="0.3">
      <c r="C27" s="5" t="s">
        <v>29</v>
      </c>
      <c r="D27" s="14">
        <v>22</v>
      </c>
      <c r="F27" s="5" t="s">
        <v>29</v>
      </c>
      <c r="G27" s="3">
        <v>42.727272727272727</v>
      </c>
      <c r="I27" s="5" t="s">
        <v>29</v>
      </c>
      <c r="J27" s="3">
        <v>4.3636363636363633</v>
      </c>
    </row>
    <row r="28" spans="3:10" x14ac:dyDescent="0.3">
      <c r="C28" s="5" t="s">
        <v>30</v>
      </c>
      <c r="D28" s="14">
        <v>12</v>
      </c>
      <c r="F28" s="5" t="s">
        <v>30</v>
      </c>
      <c r="G28" s="3">
        <v>37.416666666666664</v>
      </c>
      <c r="I28" s="5" t="s">
        <v>30</v>
      </c>
      <c r="J28" s="3">
        <v>0</v>
      </c>
    </row>
    <row r="29" spans="3:10" x14ac:dyDescent="0.3">
      <c r="C29" s="5" t="s">
        <v>31</v>
      </c>
      <c r="D29" s="14">
        <v>20</v>
      </c>
      <c r="F29" s="5" t="s">
        <v>31</v>
      </c>
      <c r="G29" s="3">
        <v>32.450000000000003</v>
      </c>
      <c r="I29" s="5" t="s">
        <v>31</v>
      </c>
      <c r="J29" s="3">
        <v>10</v>
      </c>
    </row>
    <row r="30" spans="3:10" x14ac:dyDescent="0.3">
      <c r="C30" s="5" t="s">
        <v>32</v>
      </c>
      <c r="D30" s="14">
        <v>18</v>
      </c>
      <c r="F30" s="5" t="s">
        <v>32</v>
      </c>
      <c r="G30" s="3">
        <v>40.055555555555557</v>
      </c>
      <c r="I30" s="5" t="s">
        <v>33</v>
      </c>
      <c r="J30" s="3">
        <v>6.75</v>
      </c>
    </row>
    <row r="31" spans="3:10" x14ac:dyDescent="0.3">
      <c r="C31" s="5" t="s">
        <v>33</v>
      </c>
      <c r="D31" s="14">
        <v>18</v>
      </c>
      <c r="F31" s="5" t="s">
        <v>33</v>
      </c>
      <c r="G31" s="3">
        <v>31.666666666666668</v>
      </c>
      <c r="I31" s="5" t="s">
        <v>34</v>
      </c>
      <c r="J31" s="3">
        <v>7</v>
      </c>
    </row>
    <row r="32" spans="3:10" x14ac:dyDescent="0.3">
      <c r="C32" s="5" t="s">
        <v>34</v>
      </c>
      <c r="D32" s="14">
        <v>13</v>
      </c>
      <c r="F32" s="5" t="s">
        <v>34</v>
      </c>
      <c r="G32" s="3">
        <v>39.769230769230766</v>
      </c>
      <c r="I32" s="5" t="s">
        <v>35</v>
      </c>
      <c r="J32" s="3">
        <v>3.3333333333333335</v>
      </c>
    </row>
    <row r="33" spans="1:10" x14ac:dyDescent="0.3">
      <c r="C33" s="5" t="s">
        <v>35</v>
      </c>
      <c r="D33" s="14">
        <v>15</v>
      </c>
      <c r="F33" s="5" t="s">
        <v>35</v>
      </c>
      <c r="G33" s="3">
        <v>36.733333333333334</v>
      </c>
      <c r="I33" s="5" t="s">
        <v>6</v>
      </c>
      <c r="J33" s="3">
        <v>4.7154471544715451</v>
      </c>
    </row>
    <row r="34" spans="1:10" x14ac:dyDescent="0.3">
      <c r="C34" s="5" t="s">
        <v>6</v>
      </c>
      <c r="D34" s="14">
        <v>431</v>
      </c>
      <c r="F34" s="5" t="s">
        <v>6</v>
      </c>
      <c r="G34" s="3">
        <v>36.670533642691417</v>
      </c>
    </row>
    <row r="38" spans="1:10" x14ac:dyDescent="0.3">
      <c r="A38" s="1" t="s">
        <v>5</v>
      </c>
      <c r="B38" t="s">
        <v>44</v>
      </c>
      <c r="C38" t="s">
        <v>45</v>
      </c>
    </row>
    <row r="39" spans="1:10" x14ac:dyDescent="0.3">
      <c r="A39" s="5" t="s">
        <v>42</v>
      </c>
      <c r="B39" s="8">
        <v>224</v>
      </c>
      <c r="C39" s="9">
        <v>0.51972157772621808</v>
      </c>
    </row>
    <row r="40" spans="1:10" x14ac:dyDescent="0.3">
      <c r="A40" s="5" t="s">
        <v>43</v>
      </c>
      <c r="B40" s="8">
        <v>207</v>
      </c>
      <c r="C40" s="9">
        <v>0.48027842227378192</v>
      </c>
    </row>
    <row r="41" spans="1:10" x14ac:dyDescent="0.3">
      <c r="A41" s="5" t="s">
        <v>6</v>
      </c>
      <c r="B41" s="8">
        <v>431</v>
      </c>
      <c r="C41" s="9">
        <v>1</v>
      </c>
    </row>
    <row r="46" spans="1:10" x14ac:dyDescent="0.3">
      <c r="A46" s="10" t="s">
        <v>46</v>
      </c>
      <c r="B46" s="10" t="s">
        <v>49</v>
      </c>
      <c r="C46" s="10" t="s">
        <v>47</v>
      </c>
      <c r="D46" s="10" t="s">
        <v>48</v>
      </c>
    </row>
    <row r="47" spans="1:10" x14ac:dyDescent="0.3">
      <c r="A47" s="7" t="str">
        <f>A40</f>
        <v>Not Admitted</v>
      </c>
      <c r="B47" s="7">
        <f t="shared" ref="B47" si="0">B39</f>
        <v>224</v>
      </c>
      <c r="C47" s="11">
        <f>C39</f>
        <v>0.51972157772621808</v>
      </c>
      <c r="D47" s="7"/>
    </row>
    <row r="48" spans="1:10" x14ac:dyDescent="0.3">
      <c r="A48" s="7" t="str">
        <f>A39</f>
        <v>Admitted</v>
      </c>
      <c r="B48" s="7">
        <f t="shared" ref="B48" si="1">B40</f>
        <v>207</v>
      </c>
      <c r="C48" s="11">
        <f>C40</f>
        <v>0.48027842227378192</v>
      </c>
      <c r="D48" s="7"/>
    </row>
    <row r="51" spans="1:2" x14ac:dyDescent="0.3">
      <c r="A51" s="1" t="s">
        <v>5</v>
      </c>
      <c r="B51" t="s">
        <v>58</v>
      </c>
    </row>
    <row r="52" spans="1:2" x14ac:dyDescent="0.3">
      <c r="A52" s="5" t="s">
        <v>50</v>
      </c>
      <c r="B52" s="8">
        <v>42</v>
      </c>
    </row>
    <row r="53" spans="1:2" x14ac:dyDescent="0.3">
      <c r="A53" s="5" t="s">
        <v>51</v>
      </c>
      <c r="B53" s="8">
        <v>46</v>
      </c>
    </row>
    <row r="54" spans="1:2" x14ac:dyDescent="0.3">
      <c r="A54" s="5" t="s">
        <v>52</v>
      </c>
      <c r="B54" s="8">
        <v>54</v>
      </c>
    </row>
    <row r="55" spans="1:2" x14ac:dyDescent="0.3">
      <c r="A55" s="5" t="s">
        <v>53</v>
      </c>
      <c r="B55" s="8">
        <v>68</v>
      </c>
    </row>
    <row r="56" spans="1:2" x14ac:dyDescent="0.3">
      <c r="A56" s="5" t="s">
        <v>54</v>
      </c>
      <c r="B56" s="8">
        <v>62</v>
      </c>
    </row>
    <row r="57" spans="1:2" x14ac:dyDescent="0.3">
      <c r="A57" s="5" t="s">
        <v>55</v>
      </c>
      <c r="B57" s="8">
        <v>52</v>
      </c>
    </row>
    <row r="58" spans="1:2" x14ac:dyDescent="0.3">
      <c r="A58" s="5" t="s">
        <v>56</v>
      </c>
      <c r="B58" s="8">
        <v>54</v>
      </c>
    </row>
    <row r="59" spans="1:2" x14ac:dyDescent="0.3">
      <c r="A59" s="5" t="s">
        <v>57</v>
      </c>
      <c r="B59" s="8">
        <v>53</v>
      </c>
    </row>
    <row r="60" spans="1:2" x14ac:dyDescent="0.3">
      <c r="A60" s="5" t="s">
        <v>6</v>
      </c>
      <c r="B60" s="8">
        <v>431</v>
      </c>
    </row>
    <row r="63" spans="1:2" x14ac:dyDescent="0.3">
      <c r="A63" s="1" t="s">
        <v>5</v>
      </c>
      <c r="B63" t="s">
        <v>0</v>
      </c>
    </row>
    <row r="64" spans="1:2" x14ac:dyDescent="0.3">
      <c r="A64" s="5" t="s">
        <v>60</v>
      </c>
      <c r="B64" s="8">
        <v>283</v>
      </c>
    </row>
    <row r="65" spans="1:2" x14ac:dyDescent="0.3">
      <c r="A65" s="5" t="s">
        <v>59</v>
      </c>
      <c r="B65" s="8">
        <v>148</v>
      </c>
    </row>
    <row r="66" spans="1:2" x14ac:dyDescent="0.3">
      <c r="A66" s="5" t="s">
        <v>6</v>
      </c>
      <c r="B66" s="8">
        <v>431</v>
      </c>
    </row>
    <row r="69" spans="1:2" x14ac:dyDescent="0.3">
      <c r="A69" s="1" t="s">
        <v>5</v>
      </c>
      <c r="B69" t="s">
        <v>62</v>
      </c>
    </row>
    <row r="70" spans="1:2" x14ac:dyDescent="0.3">
      <c r="A70" s="5" t="s">
        <v>63</v>
      </c>
      <c r="B70" s="8">
        <v>194</v>
      </c>
    </row>
    <row r="71" spans="1:2" x14ac:dyDescent="0.3">
      <c r="A71" s="5" t="s">
        <v>61</v>
      </c>
      <c r="B71" s="8">
        <v>237</v>
      </c>
    </row>
    <row r="72" spans="1:2" x14ac:dyDescent="0.3">
      <c r="A72" s="5" t="s">
        <v>6</v>
      </c>
      <c r="B72" s="8">
        <v>431</v>
      </c>
    </row>
    <row r="75" spans="1:2" x14ac:dyDescent="0.3">
      <c r="A75" s="1" t="s">
        <v>5</v>
      </c>
      <c r="B75" t="s">
        <v>72</v>
      </c>
    </row>
    <row r="76" spans="1:2" x14ac:dyDescent="0.3">
      <c r="A76" s="5" t="s">
        <v>68</v>
      </c>
      <c r="B76" s="8">
        <v>252</v>
      </c>
    </row>
    <row r="77" spans="1:2" x14ac:dyDescent="0.3">
      <c r="A77" s="5" t="s">
        <v>66</v>
      </c>
      <c r="B77" s="8">
        <v>89</v>
      </c>
    </row>
    <row r="78" spans="1:2" x14ac:dyDescent="0.3">
      <c r="A78" s="5" t="s">
        <v>69</v>
      </c>
      <c r="B78" s="8">
        <v>46</v>
      </c>
    </row>
    <row r="79" spans="1:2" x14ac:dyDescent="0.3">
      <c r="A79" s="5" t="s">
        <v>70</v>
      </c>
      <c r="B79" s="8">
        <v>14</v>
      </c>
    </row>
    <row r="80" spans="1:2" x14ac:dyDescent="0.3">
      <c r="A80" s="5" t="s">
        <v>64</v>
      </c>
      <c r="B80" s="8">
        <v>12</v>
      </c>
    </row>
    <row r="81" spans="1:2" x14ac:dyDescent="0.3">
      <c r="A81" s="5" t="s">
        <v>65</v>
      </c>
      <c r="B81" s="8">
        <v>6</v>
      </c>
    </row>
    <row r="82" spans="1:2" x14ac:dyDescent="0.3">
      <c r="A82" s="5" t="s">
        <v>71</v>
      </c>
      <c r="B82" s="8">
        <v>6</v>
      </c>
    </row>
    <row r="83" spans="1:2" x14ac:dyDescent="0.3">
      <c r="A83" s="5" t="s">
        <v>67</v>
      </c>
      <c r="B83" s="8">
        <v>6</v>
      </c>
    </row>
    <row r="84" spans="1:2" x14ac:dyDescent="0.3">
      <c r="A84" s="5" t="s">
        <v>6</v>
      </c>
      <c r="B84" s="8">
        <v>431</v>
      </c>
    </row>
  </sheetData>
  <mergeCells count="3">
    <mergeCell ref="C3:D3"/>
    <mergeCell ref="F3:G3"/>
    <mergeCell ref="I3:J3"/>
  </mergeCell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0DD02-EAAE-46FD-9810-BF8D30A06AB8}">
  <dimension ref="A1"/>
  <sheetViews>
    <sheetView showGridLines="0" tabSelected="1" zoomScale="69" workbookViewId="0">
      <selection activeCell="J29" sqref="J29"/>
    </sheetView>
  </sheetViews>
  <sheetFormatPr defaultRowHeight="14.4" x14ac:dyDescent="0.3"/>
  <cols>
    <col min="1" max="16384" width="8.8867187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9B1B-06E4-4B2E-B649-3BD344ADE526}">
  <dimension ref="A1:K23"/>
  <sheetViews>
    <sheetView showGridLines="0" workbookViewId="0"/>
  </sheetViews>
  <sheetFormatPr defaultRowHeight="14.4" x14ac:dyDescent="0.3"/>
  <sheetData>
    <row r="1" spans="1:11" x14ac:dyDescent="0.3">
      <c r="A1" s="6"/>
      <c r="B1" s="6"/>
      <c r="C1" s="6"/>
      <c r="D1" s="6"/>
      <c r="E1" s="6"/>
      <c r="F1" s="6"/>
      <c r="G1" s="6"/>
      <c r="H1" s="6"/>
      <c r="I1" s="6"/>
      <c r="J1" s="6"/>
      <c r="K1" s="6"/>
    </row>
    <row r="2" spans="1:11" x14ac:dyDescent="0.3">
      <c r="A2" s="6"/>
      <c r="B2" s="6"/>
      <c r="C2" s="6"/>
      <c r="D2" s="6"/>
      <c r="E2" s="6"/>
      <c r="F2" s="6"/>
      <c r="G2" s="6"/>
      <c r="H2" s="6"/>
      <c r="I2" s="6"/>
      <c r="J2" s="6"/>
      <c r="K2" s="6"/>
    </row>
    <row r="3" spans="1:11" x14ac:dyDescent="0.3">
      <c r="A3" s="6"/>
      <c r="B3" s="6"/>
      <c r="C3" s="6"/>
      <c r="D3" s="6"/>
      <c r="E3" s="6"/>
      <c r="F3" s="6"/>
      <c r="G3" s="6"/>
      <c r="H3" s="6"/>
      <c r="I3" s="6"/>
      <c r="J3" s="6"/>
      <c r="K3" s="6"/>
    </row>
    <row r="4" spans="1:11" x14ac:dyDescent="0.3">
      <c r="A4" s="6"/>
      <c r="B4" s="6"/>
      <c r="C4" s="6"/>
      <c r="D4" s="6"/>
      <c r="E4" s="6"/>
      <c r="F4" s="6"/>
      <c r="G4" s="6"/>
      <c r="H4" s="6"/>
      <c r="I4" s="6"/>
      <c r="J4" s="6"/>
      <c r="K4" s="6"/>
    </row>
    <row r="5" spans="1:11" x14ac:dyDescent="0.3">
      <c r="A5" s="6"/>
      <c r="B5" s="6"/>
      <c r="C5" s="6"/>
      <c r="D5" s="6"/>
      <c r="E5" s="6"/>
      <c r="F5" s="6"/>
      <c r="G5" s="6"/>
      <c r="H5" s="6"/>
      <c r="I5" s="6"/>
      <c r="J5" s="6"/>
      <c r="K5" s="6"/>
    </row>
    <row r="6" spans="1:11" x14ac:dyDescent="0.3">
      <c r="A6" s="6"/>
      <c r="B6" s="6"/>
      <c r="C6" s="6"/>
      <c r="D6" s="6"/>
      <c r="E6" s="6"/>
      <c r="F6" s="6"/>
      <c r="G6" s="6"/>
      <c r="H6" s="6"/>
      <c r="I6" s="6"/>
      <c r="J6" s="6"/>
      <c r="K6" s="6"/>
    </row>
    <row r="7" spans="1:11" x14ac:dyDescent="0.3">
      <c r="A7" s="6"/>
      <c r="B7" s="6"/>
      <c r="C7" s="6"/>
      <c r="D7" s="6"/>
      <c r="E7" s="6"/>
      <c r="F7" s="6"/>
      <c r="G7" s="6"/>
      <c r="H7" s="6"/>
      <c r="I7" s="6"/>
      <c r="J7" s="6"/>
      <c r="K7" s="6"/>
    </row>
    <row r="8" spans="1:11" x14ac:dyDescent="0.3">
      <c r="A8" s="6"/>
      <c r="B8" s="6"/>
      <c r="C8" s="6"/>
      <c r="D8" s="6"/>
      <c r="E8" s="6"/>
      <c r="F8" s="6"/>
      <c r="G8" s="6"/>
      <c r="H8" s="6"/>
      <c r="I8" s="6"/>
      <c r="J8" s="6"/>
      <c r="K8" s="6"/>
    </row>
    <row r="9" spans="1:11" x14ac:dyDescent="0.3">
      <c r="A9" s="6"/>
      <c r="B9" s="6"/>
      <c r="C9" s="6"/>
      <c r="D9" s="6"/>
      <c r="E9" s="6"/>
      <c r="F9" s="6"/>
      <c r="G9" s="6"/>
      <c r="H9" s="6"/>
      <c r="I9" s="6"/>
      <c r="J9" s="6"/>
      <c r="K9" s="6"/>
    </row>
    <row r="10" spans="1:11" x14ac:dyDescent="0.3">
      <c r="A10" s="6"/>
      <c r="B10" s="6"/>
      <c r="C10" s="6"/>
      <c r="D10" s="6"/>
      <c r="E10" s="6"/>
      <c r="F10" s="6"/>
      <c r="G10" s="6"/>
      <c r="H10" s="6"/>
      <c r="I10" s="6"/>
      <c r="J10" s="6"/>
      <c r="K10" s="6"/>
    </row>
    <row r="11" spans="1:11" x14ac:dyDescent="0.3">
      <c r="A11" s="6"/>
      <c r="B11" s="6"/>
      <c r="C11" s="6"/>
      <c r="D11" s="6"/>
      <c r="E11" s="6"/>
      <c r="F11" s="6"/>
      <c r="G11" s="6"/>
      <c r="H11" s="6"/>
      <c r="I11" s="6"/>
      <c r="J11" s="6"/>
      <c r="K11" s="6"/>
    </row>
    <row r="12" spans="1:11" x14ac:dyDescent="0.3">
      <c r="A12" s="6"/>
      <c r="B12" s="6"/>
      <c r="C12" s="6"/>
      <c r="D12" s="6"/>
      <c r="E12" s="6"/>
      <c r="F12" s="6"/>
      <c r="G12" s="6"/>
      <c r="H12" s="6"/>
      <c r="I12" s="6"/>
      <c r="J12" s="6"/>
      <c r="K12" s="6"/>
    </row>
    <row r="13" spans="1:11" x14ac:dyDescent="0.3">
      <c r="A13" s="6"/>
      <c r="B13" s="6"/>
      <c r="C13" s="6"/>
      <c r="D13" s="6"/>
      <c r="E13" s="6"/>
      <c r="F13" s="6"/>
      <c r="G13" s="6"/>
      <c r="H13" s="6"/>
      <c r="I13" s="6"/>
      <c r="J13" s="6"/>
      <c r="K13" s="6"/>
    </row>
    <row r="14" spans="1:11" x14ac:dyDescent="0.3">
      <c r="A14" s="6"/>
      <c r="B14" s="6"/>
      <c r="C14" s="6"/>
      <c r="D14" s="6"/>
      <c r="E14" s="6"/>
      <c r="F14" s="6"/>
      <c r="G14" s="6"/>
      <c r="H14" s="6"/>
      <c r="I14" s="6"/>
      <c r="J14" s="6"/>
      <c r="K14" s="6"/>
    </row>
    <row r="15" spans="1:11" x14ac:dyDescent="0.3">
      <c r="A15" s="6"/>
      <c r="B15" s="6"/>
      <c r="C15" s="6"/>
      <c r="D15" s="6"/>
      <c r="E15" s="6"/>
      <c r="F15" s="6"/>
      <c r="G15" s="6"/>
      <c r="H15" s="6"/>
      <c r="I15" s="6"/>
      <c r="J15" s="6"/>
      <c r="K15" s="6"/>
    </row>
    <row r="16" spans="1:11" x14ac:dyDescent="0.3">
      <c r="A16" s="6"/>
      <c r="B16" s="6"/>
      <c r="C16" s="6"/>
      <c r="D16" s="6"/>
      <c r="E16" s="6"/>
      <c r="F16" s="6"/>
      <c r="G16" s="6"/>
      <c r="H16" s="6"/>
      <c r="I16" s="6"/>
      <c r="J16" s="6"/>
      <c r="K16" s="6"/>
    </row>
    <row r="17" spans="1:11" x14ac:dyDescent="0.3">
      <c r="A17" s="6"/>
      <c r="B17" s="6"/>
      <c r="C17" s="6"/>
      <c r="D17" s="6"/>
      <c r="E17" s="6"/>
      <c r="F17" s="6"/>
      <c r="G17" s="6"/>
      <c r="H17" s="6"/>
      <c r="I17" s="6"/>
      <c r="J17" s="6"/>
      <c r="K17" s="6"/>
    </row>
    <row r="18" spans="1:11" x14ac:dyDescent="0.3">
      <c r="A18" s="6"/>
      <c r="B18" s="6"/>
      <c r="C18" s="6"/>
      <c r="D18" s="6"/>
      <c r="E18" s="6"/>
      <c r="F18" s="6"/>
      <c r="G18" s="6"/>
      <c r="H18" s="6"/>
      <c r="I18" s="6"/>
      <c r="J18" s="6"/>
      <c r="K18" s="6"/>
    </row>
    <row r="19" spans="1:11" x14ac:dyDescent="0.3">
      <c r="A19" s="6"/>
      <c r="B19" s="6"/>
      <c r="C19" s="6"/>
      <c r="D19" s="6"/>
      <c r="E19" s="6"/>
      <c r="F19" s="6"/>
      <c r="G19" s="6"/>
      <c r="H19" s="6"/>
      <c r="I19" s="6"/>
      <c r="J19" s="6"/>
      <c r="K19" s="6"/>
    </row>
    <row r="20" spans="1:11" x14ac:dyDescent="0.3">
      <c r="A20" s="6"/>
      <c r="B20" s="6"/>
      <c r="C20" s="6"/>
      <c r="D20" s="6"/>
      <c r="E20" s="6"/>
      <c r="F20" s="6"/>
      <c r="G20" s="6"/>
      <c r="H20" s="6"/>
      <c r="I20" s="6"/>
      <c r="J20" s="6"/>
      <c r="K20" s="6"/>
    </row>
    <row r="21" spans="1:11" x14ac:dyDescent="0.3">
      <c r="A21" s="6"/>
      <c r="B21" s="6"/>
      <c r="C21" s="6"/>
      <c r="D21" s="6"/>
      <c r="E21" s="6"/>
      <c r="F21" s="6"/>
      <c r="G21" s="6"/>
      <c r="H21" s="6"/>
      <c r="I21" s="6"/>
      <c r="J21" s="6"/>
      <c r="K21" s="6"/>
    </row>
    <row r="22" spans="1:11" x14ac:dyDescent="0.3">
      <c r="A22" s="6"/>
      <c r="B22" s="6"/>
      <c r="C22" s="6"/>
      <c r="D22" s="6"/>
      <c r="E22" s="6"/>
      <c r="F22" s="6"/>
      <c r="G22" s="6"/>
      <c r="H22" s="6"/>
      <c r="I22" s="6"/>
      <c r="J22" s="6"/>
      <c r="K22" s="6"/>
    </row>
    <row r="23" spans="1:11" x14ac:dyDescent="0.3">
      <c r="A23" s="12" t="s">
        <v>36</v>
      </c>
      <c r="B23" s="12"/>
      <c r="C23" s="12"/>
      <c r="D23" s="12"/>
      <c r="E23" s="12"/>
      <c r="F23" s="12"/>
      <c r="G23" s="12"/>
      <c r="H23" s="12"/>
      <c r="I23" s="12"/>
      <c r="J23" s="12"/>
      <c r="K23" s="12"/>
    </row>
  </sheetData>
  <mergeCells count="1">
    <mergeCell ref="A23:K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5BDB1-4255-4FCB-811A-8149CD973124}">
  <dimension ref="A1:R31"/>
  <sheetViews>
    <sheetView workbookViewId="0"/>
  </sheetViews>
  <sheetFormatPr defaultRowHeight="14.4" x14ac:dyDescent="0.3"/>
  <sheetData>
    <row r="1" spans="1:18" x14ac:dyDescent="0.3">
      <c r="A1" s="7"/>
      <c r="B1" s="7"/>
      <c r="C1" s="7"/>
      <c r="D1" s="7"/>
      <c r="E1" s="7"/>
      <c r="F1" s="7"/>
      <c r="G1" s="7"/>
      <c r="H1" s="7"/>
      <c r="I1" s="7"/>
      <c r="J1" s="7"/>
      <c r="K1" s="7"/>
      <c r="L1" s="7"/>
      <c r="M1" s="7"/>
      <c r="N1" s="7"/>
      <c r="O1" s="7"/>
      <c r="P1" s="7"/>
      <c r="Q1" s="7"/>
      <c r="R1" s="7"/>
    </row>
    <row r="2" spans="1:18" x14ac:dyDescent="0.3">
      <c r="A2" s="7"/>
      <c r="B2" s="7"/>
      <c r="C2" s="7"/>
      <c r="D2" s="7"/>
      <c r="E2" s="7"/>
      <c r="F2" s="7"/>
      <c r="G2" s="7"/>
      <c r="H2" s="7"/>
      <c r="I2" s="7"/>
      <c r="J2" s="7"/>
      <c r="K2" s="7"/>
      <c r="L2" s="7"/>
      <c r="M2" s="7"/>
      <c r="N2" s="7"/>
      <c r="O2" s="7"/>
      <c r="P2" s="7"/>
      <c r="Q2" s="7"/>
      <c r="R2" s="7"/>
    </row>
    <row r="3" spans="1:18" x14ac:dyDescent="0.3">
      <c r="A3" s="7"/>
      <c r="B3" s="7"/>
      <c r="C3" s="7"/>
      <c r="D3" s="7"/>
      <c r="E3" s="7"/>
      <c r="F3" s="7"/>
      <c r="G3" s="7"/>
      <c r="H3" s="7"/>
      <c r="I3" s="7"/>
      <c r="J3" s="7"/>
      <c r="K3" s="7"/>
      <c r="L3" s="7"/>
      <c r="M3" s="7"/>
      <c r="N3" s="7"/>
      <c r="O3" s="7"/>
      <c r="P3" s="7"/>
      <c r="Q3" s="7"/>
      <c r="R3" s="7"/>
    </row>
    <row r="4" spans="1:18" x14ac:dyDescent="0.3">
      <c r="A4" s="7"/>
      <c r="B4" s="7"/>
      <c r="C4" s="7"/>
      <c r="D4" s="7"/>
      <c r="E4" s="7"/>
      <c r="F4" s="7"/>
      <c r="G4" s="7"/>
      <c r="H4" s="7"/>
      <c r="I4" s="7"/>
      <c r="J4" s="7"/>
      <c r="K4" s="7"/>
      <c r="L4" s="7"/>
      <c r="M4" s="7"/>
      <c r="N4" s="7"/>
      <c r="O4" s="7"/>
      <c r="P4" s="7"/>
      <c r="Q4" s="7"/>
      <c r="R4" s="7"/>
    </row>
    <row r="5" spans="1:18" x14ac:dyDescent="0.3">
      <c r="A5" s="7"/>
      <c r="B5" s="7"/>
      <c r="C5" s="7"/>
      <c r="D5" s="7"/>
      <c r="E5" s="7"/>
      <c r="F5" s="7"/>
      <c r="G5" s="7"/>
      <c r="H5" s="7"/>
      <c r="I5" s="7"/>
      <c r="J5" s="7"/>
      <c r="K5" s="7"/>
      <c r="L5" s="7"/>
      <c r="M5" s="7"/>
      <c r="N5" s="7"/>
      <c r="O5" s="7"/>
      <c r="P5" s="7"/>
      <c r="Q5" s="7"/>
      <c r="R5" s="7"/>
    </row>
    <row r="6" spans="1:18" x14ac:dyDescent="0.3">
      <c r="A6" s="7"/>
      <c r="B6" s="7"/>
      <c r="C6" s="7"/>
      <c r="D6" s="7"/>
      <c r="E6" s="7"/>
      <c r="F6" s="7"/>
      <c r="G6" s="7"/>
      <c r="H6" s="7"/>
      <c r="I6" s="7"/>
      <c r="J6" s="7"/>
      <c r="K6" s="7"/>
      <c r="L6" s="7"/>
      <c r="M6" s="7"/>
      <c r="N6" s="7"/>
      <c r="O6" s="7"/>
      <c r="P6" s="7"/>
      <c r="Q6" s="7"/>
      <c r="R6" s="7"/>
    </row>
    <row r="7" spans="1:18" x14ac:dyDescent="0.3">
      <c r="A7" s="7"/>
      <c r="B7" s="7"/>
      <c r="C7" s="7"/>
      <c r="D7" s="7"/>
      <c r="E7" s="7"/>
      <c r="F7" s="7"/>
      <c r="G7" s="7"/>
      <c r="H7" s="7"/>
      <c r="I7" s="7"/>
      <c r="J7" s="7"/>
      <c r="K7" s="7"/>
      <c r="L7" s="7"/>
      <c r="M7" s="7"/>
      <c r="N7" s="7"/>
      <c r="O7" s="7"/>
      <c r="P7" s="7"/>
      <c r="Q7" s="7"/>
      <c r="R7" s="7"/>
    </row>
    <row r="8" spans="1:18" x14ac:dyDescent="0.3">
      <c r="A8" s="7"/>
      <c r="B8" s="7"/>
      <c r="C8" s="7"/>
      <c r="D8" s="7"/>
      <c r="E8" s="7"/>
      <c r="F8" s="7"/>
      <c r="G8" s="7"/>
      <c r="H8" s="7"/>
      <c r="I8" s="7"/>
      <c r="J8" s="7"/>
      <c r="K8" s="7"/>
      <c r="L8" s="7"/>
      <c r="M8" s="7"/>
      <c r="N8" s="7"/>
      <c r="O8" s="7"/>
      <c r="P8" s="7"/>
      <c r="Q8" s="7"/>
      <c r="R8" s="7"/>
    </row>
    <row r="9" spans="1:18" x14ac:dyDescent="0.3">
      <c r="A9" s="7"/>
      <c r="B9" s="7"/>
      <c r="C9" s="7"/>
      <c r="D9" s="7"/>
      <c r="E9" s="7"/>
      <c r="F9" s="7"/>
      <c r="G9" s="7"/>
      <c r="H9" s="7"/>
      <c r="I9" s="7"/>
      <c r="J9" s="7"/>
      <c r="K9" s="7"/>
      <c r="L9" s="7"/>
      <c r="M9" s="7"/>
      <c r="N9" s="7"/>
      <c r="O9" s="7"/>
      <c r="P9" s="7"/>
      <c r="Q9" s="7"/>
      <c r="R9" s="7"/>
    </row>
    <row r="10" spans="1:18" x14ac:dyDescent="0.3">
      <c r="A10" s="7"/>
      <c r="B10" s="7"/>
      <c r="C10" s="7"/>
      <c r="D10" s="7"/>
      <c r="E10" s="7"/>
      <c r="F10" s="7"/>
      <c r="G10" s="7"/>
      <c r="H10" s="7"/>
      <c r="I10" s="7"/>
      <c r="J10" s="7"/>
      <c r="K10" s="7"/>
      <c r="L10" s="7"/>
      <c r="M10" s="7"/>
      <c r="N10" s="7"/>
      <c r="O10" s="7"/>
      <c r="P10" s="7"/>
      <c r="Q10" s="7"/>
      <c r="R10" s="7"/>
    </row>
    <row r="11" spans="1:18" x14ac:dyDescent="0.3">
      <c r="A11" s="7"/>
      <c r="B11" s="7"/>
      <c r="C11" s="7"/>
      <c r="D11" s="7"/>
      <c r="E11" s="7"/>
      <c r="F11" s="7"/>
      <c r="G11" s="7"/>
      <c r="H11" s="7"/>
      <c r="I11" s="7"/>
      <c r="J11" s="7"/>
      <c r="K11" s="7"/>
      <c r="L11" s="7"/>
      <c r="M11" s="7"/>
      <c r="N11" s="7"/>
      <c r="O11" s="7"/>
      <c r="P11" s="7"/>
      <c r="Q11" s="7"/>
      <c r="R11" s="7"/>
    </row>
    <row r="12" spans="1:18" x14ac:dyDescent="0.3">
      <c r="A12" s="7"/>
      <c r="B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13" t="s">
        <v>39</v>
      </c>
      <c r="C27" s="13"/>
      <c r="D27" s="13"/>
      <c r="E27" s="13"/>
      <c r="F27" s="13"/>
      <c r="G27" s="13"/>
      <c r="H27" s="13"/>
      <c r="I27" s="13"/>
      <c r="J27" s="13"/>
      <c r="K27" s="13"/>
      <c r="L27" s="13"/>
      <c r="M27" s="13"/>
      <c r="N27" s="13"/>
      <c r="O27" s="13"/>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sheetData>
  <mergeCells count="1">
    <mergeCell ref="B27:O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2309D-920C-4E72-ABE8-21E75C8A3097}">
  <dimension ref="A1:R31"/>
  <sheetViews>
    <sheetView workbookViewId="0"/>
  </sheetViews>
  <sheetFormatPr defaultRowHeight="14.4" x14ac:dyDescent="0.3"/>
  <sheetData>
    <row r="1" spans="1:18" x14ac:dyDescent="0.3">
      <c r="A1" s="7"/>
      <c r="B1" s="7"/>
      <c r="C1" s="7"/>
      <c r="D1" s="7"/>
      <c r="E1" s="7"/>
      <c r="F1" s="7"/>
      <c r="G1" s="7"/>
      <c r="H1" s="7"/>
      <c r="I1" s="7"/>
      <c r="J1" s="7"/>
      <c r="K1" s="7"/>
      <c r="L1" s="7"/>
      <c r="M1" s="7"/>
      <c r="N1" s="7"/>
      <c r="O1" s="7"/>
      <c r="P1" s="7"/>
      <c r="Q1" s="7"/>
      <c r="R1" s="7"/>
    </row>
    <row r="2" spans="1:18" x14ac:dyDescent="0.3">
      <c r="A2" s="7"/>
      <c r="B2" s="7"/>
      <c r="C2" s="7"/>
      <c r="D2" s="7"/>
      <c r="E2" s="7"/>
      <c r="F2" s="7"/>
      <c r="G2" s="7"/>
      <c r="H2" s="7"/>
      <c r="I2" s="7"/>
      <c r="J2" s="7"/>
      <c r="K2" s="7"/>
      <c r="L2" s="7"/>
      <c r="M2" s="7"/>
      <c r="N2" s="7"/>
      <c r="O2" s="7"/>
      <c r="P2" s="7"/>
      <c r="Q2" s="7"/>
      <c r="R2" s="7"/>
    </row>
    <row r="3" spans="1:18" x14ac:dyDescent="0.3">
      <c r="A3" s="7"/>
      <c r="B3" s="7"/>
      <c r="C3" s="7"/>
      <c r="D3" s="7"/>
      <c r="E3" s="7"/>
      <c r="F3" s="7"/>
      <c r="G3" s="7"/>
      <c r="H3" s="7"/>
      <c r="I3" s="7"/>
      <c r="J3" s="7"/>
      <c r="K3" s="7"/>
      <c r="L3" s="7"/>
      <c r="M3" s="7"/>
      <c r="N3" s="7"/>
      <c r="O3" s="7"/>
      <c r="P3" s="7"/>
      <c r="Q3" s="7"/>
      <c r="R3" s="7"/>
    </row>
    <row r="4" spans="1:18" x14ac:dyDescent="0.3">
      <c r="A4" s="7"/>
      <c r="B4" s="7"/>
      <c r="C4" s="7"/>
      <c r="D4" s="7"/>
      <c r="E4" s="7"/>
      <c r="F4" s="7"/>
      <c r="G4" s="7"/>
      <c r="H4" s="7"/>
      <c r="I4" s="7"/>
      <c r="J4" s="7"/>
      <c r="K4" s="7"/>
      <c r="L4" s="7"/>
      <c r="M4" s="7"/>
      <c r="N4" s="7"/>
      <c r="O4" s="7"/>
      <c r="P4" s="7"/>
      <c r="Q4" s="7"/>
      <c r="R4" s="7"/>
    </row>
    <row r="5" spans="1:18" x14ac:dyDescent="0.3">
      <c r="A5" s="7"/>
      <c r="B5" s="7"/>
      <c r="C5" s="7"/>
      <c r="D5" s="7"/>
      <c r="E5" s="7"/>
      <c r="F5" s="7"/>
      <c r="G5" s="7"/>
      <c r="H5" s="7"/>
      <c r="I5" s="7"/>
      <c r="J5" s="7"/>
      <c r="K5" s="7"/>
      <c r="L5" s="7"/>
      <c r="M5" s="7"/>
      <c r="N5" s="7"/>
      <c r="O5" s="7"/>
      <c r="P5" s="7"/>
      <c r="Q5" s="7"/>
      <c r="R5" s="7"/>
    </row>
    <row r="6" spans="1:18" x14ac:dyDescent="0.3">
      <c r="A6" s="7"/>
      <c r="B6" s="7"/>
      <c r="C6" s="7"/>
      <c r="D6" s="7"/>
      <c r="E6" s="7"/>
      <c r="F6" s="7"/>
      <c r="G6" s="7"/>
      <c r="H6" s="7"/>
      <c r="I6" s="7"/>
      <c r="J6" s="7"/>
      <c r="K6" s="7"/>
      <c r="L6" s="7"/>
      <c r="M6" s="7"/>
      <c r="N6" s="7"/>
      <c r="O6" s="7"/>
      <c r="P6" s="7"/>
      <c r="Q6" s="7"/>
      <c r="R6" s="7"/>
    </row>
    <row r="7" spans="1:18" x14ac:dyDescent="0.3">
      <c r="A7" s="7"/>
      <c r="B7" s="7"/>
      <c r="C7" s="7"/>
      <c r="D7" s="7"/>
      <c r="E7" s="7"/>
      <c r="F7" s="7"/>
      <c r="G7" s="7"/>
      <c r="H7" s="7"/>
      <c r="I7" s="7"/>
      <c r="J7" s="7"/>
      <c r="K7" s="7"/>
      <c r="L7" s="7"/>
      <c r="M7" s="7"/>
      <c r="N7" s="7"/>
      <c r="O7" s="7"/>
      <c r="P7" s="7"/>
      <c r="Q7" s="7"/>
      <c r="R7" s="7"/>
    </row>
    <row r="8" spans="1:18" x14ac:dyDescent="0.3">
      <c r="A8" s="7"/>
      <c r="B8" s="7"/>
      <c r="C8" s="7"/>
      <c r="D8" s="7"/>
      <c r="E8" s="7"/>
      <c r="F8" s="7"/>
      <c r="G8" s="7"/>
      <c r="H8" s="7"/>
      <c r="I8" s="7"/>
      <c r="J8" s="7"/>
      <c r="K8" s="7"/>
      <c r="L8" s="7"/>
      <c r="M8" s="7"/>
      <c r="N8" s="7"/>
      <c r="O8" s="7"/>
      <c r="P8" s="7"/>
      <c r="Q8" s="7"/>
      <c r="R8" s="7"/>
    </row>
    <row r="9" spans="1:18" x14ac:dyDescent="0.3">
      <c r="A9" s="7"/>
      <c r="B9" s="7"/>
      <c r="C9" s="7"/>
      <c r="D9" s="7"/>
      <c r="E9" s="7"/>
      <c r="F9" s="7"/>
      <c r="G9" s="7"/>
      <c r="H9" s="7"/>
      <c r="I9" s="7"/>
      <c r="J9" s="7"/>
      <c r="K9" s="7"/>
      <c r="L9" s="7"/>
      <c r="M9" s="7"/>
      <c r="N9" s="7"/>
      <c r="O9" s="7"/>
      <c r="P9" s="7"/>
      <c r="Q9" s="7"/>
      <c r="R9" s="7"/>
    </row>
    <row r="10" spans="1:18" x14ac:dyDescent="0.3">
      <c r="A10" s="7"/>
      <c r="B10" s="7"/>
      <c r="C10" s="7"/>
      <c r="D10" s="7"/>
      <c r="E10" s="7"/>
      <c r="F10" s="7"/>
      <c r="G10" s="7"/>
      <c r="H10" s="7"/>
      <c r="I10" s="7"/>
      <c r="J10" s="7"/>
      <c r="K10" s="7"/>
      <c r="L10" s="7"/>
      <c r="M10" s="7"/>
      <c r="N10" s="7"/>
      <c r="O10" s="7"/>
      <c r="P10" s="7"/>
      <c r="Q10" s="7"/>
      <c r="R10" s="7"/>
    </row>
    <row r="11" spans="1:18" x14ac:dyDescent="0.3">
      <c r="A11" s="7"/>
      <c r="B11" s="7"/>
      <c r="C11" s="7"/>
      <c r="D11" s="7"/>
      <c r="E11" s="7"/>
      <c r="F11" s="7"/>
      <c r="G11" s="7"/>
      <c r="H11" s="7"/>
      <c r="I11" s="7"/>
      <c r="J11" s="7"/>
      <c r="K11" s="7"/>
      <c r="L11" s="7"/>
      <c r="M11" s="7"/>
      <c r="N11" s="7"/>
      <c r="O11" s="7"/>
      <c r="P11" s="7"/>
      <c r="Q11" s="7"/>
      <c r="R11" s="7"/>
    </row>
    <row r="12" spans="1:18" x14ac:dyDescent="0.3">
      <c r="A12" s="7"/>
      <c r="B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13" t="s">
        <v>40</v>
      </c>
      <c r="C27" s="13"/>
      <c r="D27" s="13"/>
      <c r="E27" s="13"/>
      <c r="F27" s="13"/>
      <c r="G27" s="13"/>
      <c r="H27" s="13"/>
      <c r="I27" s="13"/>
      <c r="J27" s="13"/>
      <c r="K27" s="13"/>
      <c r="L27" s="13"/>
      <c r="M27" s="13"/>
      <c r="N27" s="13"/>
      <c r="O27" s="13"/>
      <c r="P27" s="7"/>
      <c r="Q27" s="7"/>
      <c r="R27" s="7"/>
    </row>
    <row r="28" spans="1:18" x14ac:dyDescent="0.3">
      <c r="A28" s="7"/>
      <c r="B28" s="7"/>
      <c r="C28" s="7"/>
      <c r="D28" s="7"/>
      <c r="E28" s="7"/>
      <c r="F28" s="7"/>
      <c r="G28" s="7"/>
      <c r="H28" s="7"/>
      <c r="I28" s="7"/>
      <c r="J28" s="7"/>
      <c r="K28" s="7"/>
      <c r="L28" s="7"/>
      <c r="M28" s="7"/>
      <c r="N28" s="7"/>
      <c r="O28" s="7"/>
      <c r="P28" s="7"/>
      <c r="Q28" s="7"/>
      <c r="R28" s="7"/>
    </row>
    <row r="29" spans="1:18" x14ac:dyDescent="0.3">
      <c r="A29" s="7"/>
      <c r="B29" s="7"/>
      <c r="C29" s="7"/>
      <c r="D29" s="7"/>
      <c r="E29" s="7"/>
      <c r="F29" s="7"/>
      <c r="G29" s="7"/>
      <c r="H29" s="7"/>
      <c r="I29" s="7"/>
      <c r="J29" s="7"/>
      <c r="K29" s="7"/>
      <c r="L29" s="7"/>
      <c r="M29" s="7"/>
      <c r="N29" s="7"/>
      <c r="O29" s="7"/>
      <c r="P29" s="7"/>
      <c r="Q29" s="7"/>
      <c r="R29" s="7"/>
    </row>
    <row r="30" spans="1:18" x14ac:dyDescent="0.3">
      <c r="A30" s="7"/>
      <c r="B30" s="7"/>
      <c r="C30" s="7"/>
      <c r="D30" s="7"/>
      <c r="E30" s="7"/>
      <c r="F30" s="7"/>
      <c r="G30" s="7"/>
      <c r="H30" s="7"/>
      <c r="I30" s="7"/>
      <c r="J30" s="7"/>
      <c r="K30" s="7"/>
      <c r="L30" s="7"/>
      <c r="M30" s="7"/>
      <c r="N30" s="7"/>
      <c r="O30" s="7"/>
      <c r="P30" s="7"/>
      <c r="Q30" s="7"/>
      <c r="R30" s="7"/>
    </row>
    <row r="31" spans="1:18" x14ac:dyDescent="0.3">
      <c r="A31" s="7"/>
      <c r="B31" s="7"/>
      <c r="C31" s="7"/>
      <c r="D31" s="7"/>
      <c r="E31" s="7"/>
      <c r="F31" s="7"/>
      <c r="G31" s="7"/>
      <c r="H31" s="7"/>
      <c r="I31" s="7"/>
      <c r="J31" s="7"/>
      <c r="K31" s="7"/>
      <c r="L31" s="7"/>
      <c r="M31" s="7"/>
      <c r="N31" s="7"/>
      <c r="O31" s="7"/>
      <c r="P31" s="7"/>
      <c r="Q31" s="7"/>
      <c r="R31" s="7"/>
    </row>
  </sheetData>
  <mergeCells count="1">
    <mergeCell ref="B27:O2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4359C2F-CD3C-4D55-BA8C-08583C473FF4}">
  <ds:schemaRefs/>
</ds:datastoreItem>
</file>

<file path=customXml/itemProps2.xml><?xml version="1.0" encoding="utf-8"?>
<ds:datastoreItem xmlns:ds="http://schemas.openxmlformats.org/officeDocument/2006/customXml" ds:itemID="{DCC64DB3-74DF-4D04-93E9-A3B0C2ED4954}">
  <ds:schemaRefs/>
</ds:datastoreItem>
</file>

<file path=customXml/itemProps3.xml><?xml version="1.0" encoding="utf-8"?>
<ds:datastoreItem xmlns:ds="http://schemas.openxmlformats.org/officeDocument/2006/customXml" ds:itemID="{0F09DB5F-06E3-425E-9D01-50B57AAD527C}">
  <ds:schemaRefs/>
</ds:datastoreItem>
</file>

<file path=customXml/itemProps4.xml><?xml version="1.0" encoding="utf-8"?>
<ds:datastoreItem xmlns:ds="http://schemas.openxmlformats.org/officeDocument/2006/customXml" ds:itemID="{877E268D-121B-4C8E-A238-BF77CD499575}">
  <ds:schemaRefs/>
</ds:datastoreItem>
</file>

<file path=customXml/itemProps5.xml><?xml version="1.0" encoding="utf-8"?>
<ds:datastoreItem xmlns:ds="http://schemas.openxmlformats.org/officeDocument/2006/customXml" ds:itemID="{67A5EF00-1DB8-4D5D-A9C8-E95E292D3F35}">
  <ds:schemaRefs/>
</ds:datastoreItem>
</file>

<file path=customXml/itemProps6.xml><?xml version="1.0" encoding="utf-8"?>
<ds:datastoreItem xmlns:ds="http://schemas.openxmlformats.org/officeDocument/2006/customXml" ds:itemID="{DFD418F3-EADD-454D-9C88-85827BAE7E73}">
  <ds:schemaRefs/>
</ds:datastoreItem>
</file>

<file path=customXml/itemProps7.xml><?xml version="1.0" encoding="utf-8"?>
<ds:datastoreItem xmlns:ds="http://schemas.openxmlformats.org/officeDocument/2006/customXml" ds:itemID="{E75138CD-0465-496D-A74A-49309502A2D6}">
  <ds:schemaRefs/>
</ds:datastoreItem>
</file>

<file path=customXml/itemProps8.xml><?xml version="1.0" encoding="utf-8"?>
<ds:datastoreItem xmlns:ds="http://schemas.openxmlformats.org/officeDocument/2006/customXml" ds:itemID="{DEE51A1A-1E63-4FE9-A046-E0BA035196ED}">
  <ds:schemaRefs/>
</ds:datastoreItem>
</file>

<file path=customXml/itemProps9.xml><?xml version="1.0" encoding="utf-8"?>
<ds:datastoreItem xmlns:ds="http://schemas.openxmlformats.org/officeDocument/2006/customXml" ds:itemID="{9BA6A7C4-8BDF-4C87-91C3-12FC208CCD8B}">
  <ds:schemaRefs/>
</ds:datastoreItem>
</file>

<file path=customXml/itemProps10.xml><?xml version="1.0" encoding="utf-8"?>
<ds:datastoreItem xmlns:ds="http://schemas.openxmlformats.org/officeDocument/2006/customXml" ds:itemID="{07CA54A0-724E-4402-A656-DF456F83BCC8}">
  <ds:schemaRefs/>
</ds:datastoreItem>
</file>

<file path=customXml/itemProps11.xml><?xml version="1.0" encoding="utf-8"?>
<ds:datastoreItem xmlns:ds="http://schemas.openxmlformats.org/officeDocument/2006/customXml" ds:itemID="{89EAA86E-731C-4533-8BD7-8D915EF68B4A}">
  <ds:schemaRefs>
    <ds:schemaRef ds:uri="http://schemas.microsoft.com/DataMashup"/>
  </ds:schemaRefs>
</ds:datastoreItem>
</file>

<file path=customXml/itemProps12.xml><?xml version="1.0" encoding="utf-8"?>
<ds:datastoreItem xmlns:ds="http://schemas.openxmlformats.org/officeDocument/2006/customXml" ds:itemID="{D3A3C0EE-E8FF-4E2A-ACE5-4BA732E0AFD6}">
  <ds:schemaRefs/>
</ds:datastoreItem>
</file>

<file path=customXml/itemProps13.xml><?xml version="1.0" encoding="utf-8"?>
<ds:datastoreItem xmlns:ds="http://schemas.openxmlformats.org/officeDocument/2006/customXml" ds:itemID="{AA99923B-069F-4456-AFFC-78AE9D4AD937}">
  <ds:schemaRefs/>
</ds:datastoreItem>
</file>

<file path=customXml/itemProps14.xml><?xml version="1.0" encoding="utf-8"?>
<ds:datastoreItem xmlns:ds="http://schemas.openxmlformats.org/officeDocument/2006/customXml" ds:itemID="{C643E587-A928-4265-BE86-48AED4FE1782}">
  <ds:schemaRefs/>
</ds:datastoreItem>
</file>

<file path=customXml/itemProps15.xml><?xml version="1.0" encoding="utf-8"?>
<ds:datastoreItem xmlns:ds="http://schemas.openxmlformats.org/officeDocument/2006/customXml" ds:itemID="{F7E0C1A5-3420-44F2-938E-FB34BBB5A60B}">
  <ds:schemaRefs/>
</ds:datastoreItem>
</file>

<file path=customXml/itemProps16.xml><?xml version="1.0" encoding="utf-8"?>
<ds:datastoreItem xmlns:ds="http://schemas.openxmlformats.org/officeDocument/2006/customXml" ds:itemID="{A1D32466-E83F-490D-AFA0-46317F289432}">
  <ds:schemaRefs/>
</ds:datastoreItem>
</file>

<file path=customXml/itemProps17.xml><?xml version="1.0" encoding="utf-8"?>
<ds:datastoreItem xmlns:ds="http://schemas.openxmlformats.org/officeDocument/2006/customXml" ds:itemID="{13CF8530-C897-4459-BD54-FAD8AFD45B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of no. of patient</vt:lpstr>
      <vt:lpstr>Avg wait time for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lohit jogi</dc:creator>
  <cp:lastModifiedBy>lohit jogi</cp:lastModifiedBy>
  <dcterms:created xsi:type="dcterms:W3CDTF">2025-04-14T05:46:58Z</dcterms:created>
  <dcterms:modified xsi:type="dcterms:W3CDTF">2025-04-16T08:06:59Z</dcterms:modified>
</cp:coreProperties>
</file>